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4"/>
  <workbookPr hidePivotFieldList="1" defaultThemeVersion="202300"/>
  <mc:AlternateContent xmlns:mc="http://schemas.openxmlformats.org/markup-compatibility/2006">
    <mc:Choice Requires="x15">
      <x15ac:absPath xmlns:x15ac="http://schemas.microsoft.com/office/spreadsheetml/2010/11/ac" url="/Users/vfv212/Documents/2026-neurips/overleaf/"/>
    </mc:Choice>
  </mc:AlternateContent>
  <xr:revisionPtr revIDLastSave="0" documentId="13_ncr:1_{D79ACD7C-E74A-6C41-9730-C3FBBD5876E4}" xr6:coauthVersionLast="47" xr6:coauthVersionMax="47" xr10:uidLastSave="{00000000-0000-0000-0000-000000000000}"/>
  <bookViews>
    <workbookView xWindow="1020" yWindow="2240" windowWidth="40180" windowHeight="16680" activeTab="5" xr2:uid="{D2AFCEB6-AF00-9C41-80F1-740AF5F44D4A}"/>
  </bookViews>
  <sheets>
    <sheet name="rubric" sheetId="1" r:id="rId1"/>
    <sheet name="raw_scoring" sheetId="2" r:id="rId2"/>
    <sheet name="performance_analysis" sheetId="3" r:id="rId3"/>
    <sheet name="failure_analysis" sheetId="4" r:id="rId4"/>
    <sheet name="delta_analysis" sheetId="5" r:id="rId5"/>
    <sheet name="output_length_performance" sheetId="6" r:id="rId6"/>
  </sheets>
  <externalReferences>
    <externalReference r:id="rId7"/>
  </externalReferences>
  <calcPr calcId="181029"/>
  <pivotCaches>
    <pivotCache cacheId="0" r:id="rId8"/>
    <pivotCache cacheId="1"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5" l="1"/>
  <c r="E4" i="5"/>
  <c r="E5" i="5"/>
  <c r="E6" i="5"/>
  <c r="E7" i="5"/>
  <c r="B12" i="5"/>
  <c r="B13" i="5"/>
  <c r="B14" i="5"/>
  <c r="B15" i="5"/>
  <c r="B16" i="5"/>
  <c r="Z488" i="2"/>
  <c r="V488" i="2"/>
  <c r="U488" i="2"/>
  <c r="W488" i="2" s="1"/>
  <c r="X488" i="2" s="1"/>
  <c r="AA488" i="2" s="1"/>
  <c r="Z487" i="2"/>
  <c r="V487" i="2"/>
  <c r="U487" i="2"/>
  <c r="W487" i="2" s="1"/>
  <c r="X487" i="2" s="1"/>
  <c r="AA487" i="2" s="1"/>
  <c r="Z486" i="2"/>
  <c r="V486" i="2"/>
  <c r="U486" i="2"/>
  <c r="W486" i="2" s="1"/>
  <c r="X486" i="2" s="1"/>
  <c r="AA486" i="2" s="1"/>
  <c r="Z485" i="2"/>
  <c r="X485" i="2"/>
  <c r="AA485" i="2" s="1"/>
  <c r="W485" i="2"/>
  <c r="V485" i="2"/>
  <c r="U485" i="2"/>
  <c r="Z484" i="2"/>
  <c r="V484" i="2"/>
  <c r="U484" i="2"/>
  <c r="Z483" i="2"/>
  <c r="V483" i="2"/>
  <c r="U483" i="2"/>
  <c r="W483" i="2" s="1"/>
  <c r="X483" i="2" s="1"/>
  <c r="AA483" i="2" s="1"/>
  <c r="Z482" i="2"/>
  <c r="V482" i="2"/>
  <c r="U482" i="2"/>
  <c r="Z481" i="2"/>
  <c r="V481" i="2"/>
  <c r="U481" i="2"/>
  <c r="W481" i="2" s="1"/>
  <c r="X481" i="2" s="1"/>
  <c r="AA481" i="2" s="1"/>
  <c r="Z480" i="2"/>
  <c r="V480" i="2"/>
  <c r="U480" i="2"/>
  <c r="W480" i="2" s="1"/>
  <c r="X480" i="2" s="1"/>
  <c r="AA480" i="2" s="1"/>
  <c r="Z479" i="2"/>
  <c r="X479" i="2"/>
  <c r="AA479" i="2" s="1"/>
  <c r="W479" i="2"/>
  <c r="V479" i="2"/>
  <c r="U479" i="2"/>
  <c r="Z478" i="2"/>
  <c r="V478" i="2"/>
  <c r="U478" i="2"/>
  <c r="Z477" i="2"/>
  <c r="V477" i="2"/>
  <c r="U477" i="2"/>
  <c r="W477" i="2" s="1"/>
  <c r="X477" i="2" s="1"/>
  <c r="AA477" i="2" s="1"/>
  <c r="Z476" i="2"/>
  <c r="V476" i="2"/>
  <c r="U476" i="2"/>
  <c r="Z475" i="2"/>
  <c r="V475" i="2"/>
  <c r="U475" i="2"/>
  <c r="W475" i="2" s="1"/>
  <c r="X475" i="2" s="1"/>
  <c r="AA475" i="2" s="1"/>
  <c r="Z474" i="2"/>
  <c r="V474" i="2"/>
  <c r="U474" i="2"/>
  <c r="W474" i="2" s="1"/>
  <c r="X474" i="2" s="1"/>
  <c r="AA474" i="2" s="1"/>
  <c r="Z473" i="2"/>
  <c r="X473" i="2"/>
  <c r="AA473" i="2" s="1"/>
  <c r="W473" i="2"/>
  <c r="V473" i="2"/>
  <c r="U473" i="2"/>
  <c r="Z472" i="2"/>
  <c r="V472" i="2"/>
  <c r="U472" i="2"/>
  <c r="Z471" i="2"/>
  <c r="V471" i="2"/>
  <c r="U471" i="2"/>
  <c r="W471" i="2" s="1"/>
  <c r="X471" i="2" s="1"/>
  <c r="AA471" i="2" s="1"/>
  <c r="Z470" i="2"/>
  <c r="V470" i="2"/>
  <c r="U470" i="2"/>
  <c r="Z469" i="2"/>
  <c r="V469" i="2"/>
  <c r="U469" i="2"/>
  <c r="W469" i="2" s="1"/>
  <c r="X469" i="2" s="1"/>
  <c r="AA469" i="2" s="1"/>
  <c r="Z468" i="2"/>
  <c r="V468" i="2"/>
  <c r="U468" i="2"/>
  <c r="W468" i="2" s="1"/>
  <c r="X468" i="2" s="1"/>
  <c r="AA468" i="2" s="1"/>
  <c r="Z467" i="2"/>
  <c r="X467" i="2"/>
  <c r="AA467" i="2" s="1"/>
  <c r="W467" i="2"/>
  <c r="V467" i="2"/>
  <c r="U467" i="2"/>
  <c r="Z466" i="2"/>
  <c r="V466" i="2"/>
  <c r="U466" i="2"/>
  <c r="Z465" i="2"/>
  <c r="V465" i="2"/>
  <c r="U465" i="2"/>
  <c r="Z464" i="2"/>
  <c r="V464" i="2"/>
  <c r="U464" i="2"/>
  <c r="Z463" i="2"/>
  <c r="V463" i="2"/>
  <c r="U463" i="2"/>
  <c r="W463" i="2" s="1"/>
  <c r="X463" i="2" s="1"/>
  <c r="AA463" i="2" s="1"/>
  <c r="Z462" i="2"/>
  <c r="V462" i="2"/>
  <c r="U462" i="2"/>
  <c r="W462" i="2" s="1"/>
  <c r="X462" i="2" s="1"/>
  <c r="AA462" i="2" s="1"/>
  <c r="Z461" i="2"/>
  <c r="X461" i="2"/>
  <c r="AA461" i="2" s="1"/>
  <c r="W461" i="2"/>
  <c r="V461" i="2"/>
  <c r="U461" i="2"/>
  <c r="Z460" i="2"/>
  <c r="V460" i="2"/>
  <c r="U460" i="2"/>
  <c r="Z459" i="2"/>
  <c r="V459" i="2"/>
  <c r="U459" i="2"/>
  <c r="W459" i="2" s="1"/>
  <c r="X459" i="2" s="1"/>
  <c r="AA459" i="2" s="1"/>
  <c r="Z458" i="2"/>
  <c r="V458" i="2"/>
  <c r="U458" i="2"/>
  <c r="Z457" i="2"/>
  <c r="V457" i="2"/>
  <c r="U457" i="2"/>
  <c r="W457" i="2" s="1"/>
  <c r="X457" i="2" s="1"/>
  <c r="AA457" i="2" s="1"/>
  <c r="Z456" i="2"/>
  <c r="V456" i="2"/>
  <c r="U456" i="2"/>
  <c r="W456" i="2" s="1"/>
  <c r="X456" i="2" s="1"/>
  <c r="AA456" i="2" s="1"/>
  <c r="Z455" i="2"/>
  <c r="X455" i="2"/>
  <c r="AA455" i="2" s="1"/>
  <c r="W455" i="2"/>
  <c r="V455" i="2"/>
  <c r="U455" i="2"/>
  <c r="Z454" i="2"/>
  <c r="V454" i="2"/>
  <c r="U454" i="2"/>
  <c r="Z453" i="2"/>
  <c r="V453" i="2"/>
  <c r="U453" i="2"/>
  <c r="W453" i="2" s="1"/>
  <c r="X453" i="2" s="1"/>
  <c r="AA453" i="2" s="1"/>
  <c r="Z452" i="2"/>
  <c r="V452" i="2"/>
  <c r="U452" i="2"/>
  <c r="Z451" i="2"/>
  <c r="V451" i="2"/>
  <c r="U451" i="2"/>
  <c r="W451" i="2" s="1"/>
  <c r="X451" i="2" s="1"/>
  <c r="AA451" i="2" s="1"/>
  <c r="Z450" i="2"/>
  <c r="V450" i="2"/>
  <c r="U450" i="2"/>
  <c r="W450" i="2" s="1"/>
  <c r="X450" i="2" s="1"/>
  <c r="AA450" i="2" s="1"/>
  <c r="Z449" i="2"/>
  <c r="X449" i="2"/>
  <c r="AA449" i="2" s="1"/>
  <c r="W449" i="2"/>
  <c r="V449" i="2"/>
  <c r="U449" i="2"/>
  <c r="Z448" i="2"/>
  <c r="V448" i="2"/>
  <c r="U448" i="2"/>
  <c r="Z447" i="2"/>
  <c r="V447" i="2"/>
  <c r="U447" i="2"/>
  <c r="W447" i="2" s="1"/>
  <c r="X447" i="2" s="1"/>
  <c r="AA447" i="2" s="1"/>
  <c r="Z446" i="2"/>
  <c r="V446" i="2"/>
  <c r="U446" i="2"/>
  <c r="Z445" i="2"/>
  <c r="V445" i="2"/>
  <c r="U445" i="2"/>
  <c r="W445" i="2" s="1"/>
  <c r="X445" i="2" s="1"/>
  <c r="AA445" i="2" s="1"/>
  <c r="Z444" i="2"/>
  <c r="V444" i="2"/>
  <c r="U444" i="2"/>
  <c r="W444" i="2" s="1"/>
  <c r="X444" i="2" s="1"/>
  <c r="AA444" i="2" s="1"/>
  <c r="Z443" i="2"/>
  <c r="X443" i="2"/>
  <c r="AA443" i="2" s="1"/>
  <c r="W443" i="2"/>
  <c r="V443" i="2"/>
  <c r="U443" i="2"/>
  <c r="Z442" i="2"/>
  <c r="V442" i="2"/>
  <c r="U442" i="2"/>
  <c r="Z441" i="2"/>
  <c r="V441" i="2"/>
  <c r="U441" i="2"/>
  <c r="Z440" i="2"/>
  <c r="V440" i="2"/>
  <c r="U440" i="2"/>
  <c r="Z439" i="2"/>
  <c r="V439" i="2"/>
  <c r="U439" i="2"/>
  <c r="W439" i="2" s="1"/>
  <c r="X439" i="2" s="1"/>
  <c r="AA439" i="2" s="1"/>
  <c r="Z438" i="2"/>
  <c r="V438" i="2"/>
  <c r="U438" i="2"/>
  <c r="Z437" i="2"/>
  <c r="X437" i="2"/>
  <c r="AA437" i="2" s="1"/>
  <c r="W437" i="2"/>
  <c r="V437" i="2"/>
  <c r="U437" i="2"/>
  <c r="Z436" i="2"/>
  <c r="V436" i="2"/>
  <c r="U436" i="2"/>
  <c r="Z435" i="2"/>
  <c r="V435" i="2"/>
  <c r="U435" i="2"/>
  <c r="W435" i="2" s="1"/>
  <c r="X435" i="2" s="1"/>
  <c r="AA435" i="2" s="1"/>
  <c r="Z434" i="2"/>
  <c r="V434" i="2"/>
  <c r="U434" i="2"/>
  <c r="Z433" i="2"/>
  <c r="V433" i="2"/>
  <c r="U433" i="2"/>
  <c r="W433" i="2" s="1"/>
  <c r="X433" i="2" s="1"/>
  <c r="AA433" i="2" s="1"/>
  <c r="Z432" i="2"/>
  <c r="V432" i="2"/>
  <c r="U432" i="2"/>
  <c r="W432" i="2" s="1"/>
  <c r="X432" i="2" s="1"/>
  <c r="AA432" i="2" s="1"/>
  <c r="Z431" i="2"/>
  <c r="X431" i="2"/>
  <c r="AA431" i="2" s="1"/>
  <c r="W431" i="2"/>
  <c r="V431" i="2"/>
  <c r="U431" i="2"/>
  <c r="Z430" i="2"/>
  <c r="V430" i="2"/>
  <c r="U430" i="2"/>
  <c r="Z429" i="2"/>
  <c r="V429" i="2"/>
  <c r="U429" i="2"/>
  <c r="W429" i="2" s="1"/>
  <c r="X429" i="2" s="1"/>
  <c r="AA429" i="2" s="1"/>
  <c r="Z428" i="2"/>
  <c r="V428" i="2"/>
  <c r="U428" i="2"/>
  <c r="Z427" i="2"/>
  <c r="V427" i="2"/>
  <c r="U427" i="2"/>
  <c r="W427" i="2" s="1"/>
  <c r="X427" i="2" s="1"/>
  <c r="AA427" i="2" s="1"/>
  <c r="Z426" i="2"/>
  <c r="V426" i="2"/>
  <c r="U426" i="2"/>
  <c r="Z425" i="2"/>
  <c r="X425" i="2"/>
  <c r="AA425" i="2" s="1"/>
  <c r="W425" i="2"/>
  <c r="V425" i="2"/>
  <c r="U425" i="2"/>
  <c r="Z424" i="2"/>
  <c r="V424" i="2"/>
  <c r="U424" i="2"/>
  <c r="Z423" i="2"/>
  <c r="V423" i="2"/>
  <c r="U423" i="2"/>
  <c r="W423" i="2" s="1"/>
  <c r="X423" i="2" s="1"/>
  <c r="AA423" i="2" s="1"/>
  <c r="Z422" i="2"/>
  <c r="V422" i="2"/>
  <c r="U422" i="2"/>
  <c r="Z421" i="2"/>
  <c r="V421" i="2"/>
  <c r="U421" i="2"/>
  <c r="W421" i="2" s="1"/>
  <c r="X421" i="2" s="1"/>
  <c r="AA421" i="2" s="1"/>
  <c r="Z420" i="2"/>
  <c r="V420" i="2"/>
  <c r="U420" i="2"/>
  <c r="W420" i="2" s="1"/>
  <c r="X420" i="2" s="1"/>
  <c r="AA420" i="2" s="1"/>
  <c r="Z419" i="2"/>
  <c r="X419" i="2"/>
  <c r="AA419" i="2" s="1"/>
  <c r="W419" i="2"/>
  <c r="V419" i="2"/>
  <c r="U419" i="2"/>
  <c r="Z418" i="2"/>
  <c r="V418" i="2"/>
  <c r="U418" i="2"/>
  <c r="Z417" i="2"/>
  <c r="V417" i="2"/>
  <c r="U417" i="2"/>
  <c r="W417" i="2" s="1"/>
  <c r="X417" i="2" s="1"/>
  <c r="AA417" i="2" s="1"/>
  <c r="Z416" i="2"/>
  <c r="V416" i="2"/>
  <c r="U416" i="2"/>
  <c r="Z415" i="2"/>
  <c r="V415" i="2"/>
  <c r="U415" i="2"/>
  <c r="W415" i="2" s="1"/>
  <c r="X415" i="2" s="1"/>
  <c r="AA415" i="2" s="1"/>
  <c r="Z414" i="2"/>
  <c r="V414" i="2"/>
  <c r="U414" i="2"/>
  <c r="Z413" i="2"/>
  <c r="X413" i="2"/>
  <c r="AA413" i="2" s="1"/>
  <c r="W413" i="2"/>
  <c r="V413" i="2"/>
  <c r="U413" i="2"/>
  <c r="Z412" i="2"/>
  <c r="V412" i="2"/>
  <c r="U412" i="2"/>
  <c r="Z411" i="2"/>
  <c r="X411" i="2"/>
  <c r="AA411" i="2" s="1"/>
  <c r="W411" i="2"/>
  <c r="V411" i="2"/>
  <c r="U411" i="2"/>
  <c r="Z410" i="2"/>
  <c r="V410" i="2"/>
  <c r="U410" i="2"/>
  <c r="Z409" i="2"/>
  <c r="V409" i="2"/>
  <c r="U409" i="2"/>
  <c r="W409" i="2" s="1"/>
  <c r="X409" i="2" s="1"/>
  <c r="AA409" i="2" s="1"/>
  <c r="Z408" i="2"/>
  <c r="V408" i="2"/>
  <c r="U408" i="2"/>
  <c r="W408" i="2" s="1"/>
  <c r="X408" i="2" s="1"/>
  <c r="AA408" i="2" s="1"/>
  <c r="Z407" i="2"/>
  <c r="X407" i="2"/>
  <c r="AA407" i="2" s="1"/>
  <c r="W407" i="2"/>
  <c r="V407" i="2"/>
  <c r="U407" i="2"/>
  <c r="Z406" i="2"/>
  <c r="V406" i="2"/>
  <c r="U406" i="2"/>
  <c r="Z405" i="2"/>
  <c r="V405" i="2"/>
  <c r="W405" i="2" s="1"/>
  <c r="X405" i="2" s="1"/>
  <c r="AA405" i="2" s="1"/>
  <c r="U405" i="2"/>
  <c r="Z404" i="2"/>
  <c r="V404" i="2"/>
  <c r="U404" i="2"/>
  <c r="Z403" i="2"/>
  <c r="V403" i="2"/>
  <c r="U403" i="2"/>
  <c r="W403" i="2" s="1"/>
  <c r="X403" i="2" s="1"/>
  <c r="AA403" i="2" s="1"/>
  <c r="Z402" i="2"/>
  <c r="V402" i="2"/>
  <c r="U402" i="2"/>
  <c r="Z401" i="2"/>
  <c r="X401" i="2"/>
  <c r="AA401" i="2" s="1"/>
  <c r="W401" i="2"/>
  <c r="V401" i="2"/>
  <c r="U401" i="2"/>
  <c r="Z400" i="2"/>
  <c r="V400" i="2"/>
  <c r="U400" i="2"/>
  <c r="Z399" i="2"/>
  <c r="X399" i="2"/>
  <c r="AA399" i="2" s="1"/>
  <c r="W399" i="2"/>
  <c r="V399" i="2"/>
  <c r="U399" i="2"/>
  <c r="Z398" i="2"/>
  <c r="V398" i="2"/>
  <c r="U398" i="2"/>
  <c r="Z397" i="2"/>
  <c r="V397" i="2"/>
  <c r="U397" i="2"/>
  <c r="W397" i="2" s="1"/>
  <c r="X397" i="2" s="1"/>
  <c r="AA397" i="2" s="1"/>
  <c r="Z396" i="2"/>
  <c r="V396" i="2"/>
  <c r="U396" i="2"/>
  <c r="Z395" i="2"/>
  <c r="X395" i="2"/>
  <c r="AA395" i="2" s="1"/>
  <c r="W395" i="2"/>
  <c r="V395" i="2"/>
  <c r="U395" i="2"/>
  <c r="Z394" i="2"/>
  <c r="V394" i="2"/>
  <c r="U394" i="2"/>
  <c r="Z393" i="2"/>
  <c r="V393" i="2"/>
  <c r="U393" i="2"/>
  <c r="W393" i="2" s="1"/>
  <c r="X393" i="2" s="1"/>
  <c r="AA393" i="2" s="1"/>
  <c r="Z392" i="2"/>
  <c r="V392" i="2"/>
  <c r="U392" i="2"/>
  <c r="Z391" i="2"/>
  <c r="V391" i="2"/>
  <c r="U391" i="2"/>
  <c r="W391" i="2" s="1"/>
  <c r="X391" i="2" s="1"/>
  <c r="AA391" i="2" s="1"/>
  <c r="Z390" i="2"/>
  <c r="V390" i="2"/>
  <c r="U390" i="2"/>
  <c r="Z389" i="2"/>
  <c r="X389" i="2"/>
  <c r="AA389" i="2" s="1"/>
  <c r="W389" i="2"/>
  <c r="V389" i="2"/>
  <c r="U389" i="2"/>
  <c r="Z388" i="2"/>
  <c r="V388" i="2"/>
  <c r="U388" i="2"/>
  <c r="Z387" i="2"/>
  <c r="V387" i="2"/>
  <c r="U387" i="2"/>
  <c r="W387" i="2" s="1"/>
  <c r="X387" i="2" s="1"/>
  <c r="AA387" i="2" s="1"/>
  <c r="Z386" i="2"/>
  <c r="V386" i="2"/>
  <c r="U386" i="2"/>
  <c r="Z385" i="2"/>
  <c r="V385" i="2"/>
  <c r="U385" i="2"/>
  <c r="W385" i="2" s="1"/>
  <c r="X385" i="2" s="1"/>
  <c r="AA385" i="2" s="1"/>
  <c r="Z384" i="2"/>
  <c r="V384" i="2"/>
  <c r="U384" i="2"/>
  <c r="W384" i="2" s="1"/>
  <c r="X384" i="2" s="1"/>
  <c r="AA384" i="2" s="1"/>
  <c r="Z383" i="2"/>
  <c r="X383" i="2"/>
  <c r="AA383" i="2" s="1"/>
  <c r="W383" i="2"/>
  <c r="V383" i="2"/>
  <c r="U383" i="2"/>
  <c r="Z382" i="2"/>
  <c r="V382" i="2"/>
  <c r="U382" i="2"/>
  <c r="Z381" i="2"/>
  <c r="V381" i="2"/>
  <c r="U381" i="2"/>
  <c r="W381" i="2" s="1"/>
  <c r="X381" i="2" s="1"/>
  <c r="AA381" i="2" s="1"/>
  <c r="Z380" i="2"/>
  <c r="V380" i="2"/>
  <c r="U380" i="2"/>
  <c r="Z379" i="2"/>
  <c r="V379" i="2"/>
  <c r="U379" i="2"/>
  <c r="W379" i="2" s="1"/>
  <c r="X379" i="2" s="1"/>
  <c r="AA379" i="2" s="1"/>
  <c r="Z378" i="2"/>
  <c r="V378" i="2"/>
  <c r="U378" i="2"/>
  <c r="Z377" i="2"/>
  <c r="X377" i="2"/>
  <c r="AA377" i="2" s="1"/>
  <c r="W377" i="2"/>
  <c r="V377" i="2"/>
  <c r="U377" i="2"/>
  <c r="Z376" i="2"/>
  <c r="V376" i="2"/>
  <c r="U376" i="2"/>
  <c r="Z375" i="2"/>
  <c r="X375" i="2"/>
  <c r="AA375" i="2" s="1"/>
  <c r="W375" i="2"/>
  <c r="V375" i="2"/>
  <c r="U375" i="2"/>
  <c r="Z374" i="2"/>
  <c r="V374" i="2"/>
  <c r="U374" i="2"/>
  <c r="Z373" i="2"/>
  <c r="V373" i="2"/>
  <c r="U373" i="2"/>
  <c r="W373" i="2" s="1"/>
  <c r="X373" i="2" s="1"/>
  <c r="AA373" i="2" s="1"/>
  <c r="Z372" i="2"/>
  <c r="V372" i="2"/>
  <c r="U372" i="2"/>
  <c r="W372" i="2" s="1"/>
  <c r="X372" i="2" s="1"/>
  <c r="AA372" i="2" s="1"/>
  <c r="Z371" i="2"/>
  <c r="X371" i="2"/>
  <c r="AA371" i="2" s="1"/>
  <c r="W371" i="2"/>
  <c r="V371" i="2"/>
  <c r="U371" i="2"/>
  <c r="Z370" i="2"/>
  <c r="V370" i="2"/>
  <c r="U370" i="2"/>
  <c r="Z369" i="2"/>
  <c r="V369" i="2"/>
  <c r="W369" i="2" s="1"/>
  <c r="X369" i="2" s="1"/>
  <c r="AA369" i="2" s="1"/>
  <c r="U369" i="2"/>
  <c r="Z368" i="2"/>
  <c r="V368" i="2"/>
  <c r="U368" i="2"/>
  <c r="Z367" i="2"/>
  <c r="V367" i="2"/>
  <c r="U367" i="2"/>
  <c r="W367" i="2" s="1"/>
  <c r="X367" i="2" s="1"/>
  <c r="AA367" i="2" s="1"/>
  <c r="Z366" i="2"/>
  <c r="V366" i="2"/>
  <c r="U366" i="2"/>
  <c r="W366" i="2" s="1"/>
  <c r="X366" i="2" s="1"/>
  <c r="AA366" i="2" s="1"/>
  <c r="Z365" i="2"/>
  <c r="X365" i="2"/>
  <c r="AA365" i="2" s="1"/>
  <c r="W365" i="2"/>
  <c r="V365" i="2"/>
  <c r="U365" i="2"/>
  <c r="Z364" i="2"/>
  <c r="V364" i="2"/>
  <c r="U364" i="2"/>
  <c r="Z363" i="2"/>
  <c r="V363" i="2"/>
  <c r="U363" i="2"/>
  <c r="W363" i="2" s="1"/>
  <c r="X363" i="2" s="1"/>
  <c r="AA363" i="2" s="1"/>
  <c r="Z362" i="2"/>
  <c r="V362" i="2"/>
  <c r="U362" i="2"/>
  <c r="Z361" i="2"/>
  <c r="V361" i="2"/>
  <c r="U361" i="2"/>
  <c r="W361" i="2" s="1"/>
  <c r="X361" i="2" s="1"/>
  <c r="AA361" i="2" s="1"/>
  <c r="Z360" i="2"/>
  <c r="V360" i="2"/>
  <c r="U360" i="2"/>
  <c r="Z359" i="2"/>
  <c r="X359" i="2"/>
  <c r="AA359" i="2" s="1"/>
  <c r="W359" i="2"/>
  <c r="V359" i="2"/>
  <c r="U359" i="2"/>
  <c r="Z358" i="2"/>
  <c r="V358" i="2"/>
  <c r="U358" i="2"/>
  <c r="Z357" i="2"/>
  <c r="V357" i="2"/>
  <c r="U357" i="2"/>
  <c r="W357" i="2" s="1"/>
  <c r="X357" i="2" s="1"/>
  <c r="AA357" i="2" s="1"/>
  <c r="Z356" i="2"/>
  <c r="V356" i="2"/>
  <c r="U356" i="2"/>
  <c r="Z355" i="2"/>
  <c r="V355" i="2"/>
  <c r="U355" i="2"/>
  <c r="W355" i="2" s="1"/>
  <c r="X355" i="2" s="1"/>
  <c r="AA355" i="2" s="1"/>
  <c r="Z354" i="2"/>
  <c r="V354" i="2"/>
  <c r="U354" i="2"/>
  <c r="Z353" i="2"/>
  <c r="X353" i="2"/>
  <c r="AA353" i="2" s="1"/>
  <c r="W353" i="2"/>
  <c r="V353" i="2"/>
  <c r="U353" i="2"/>
  <c r="Z352" i="2"/>
  <c r="V352" i="2"/>
  <c r="U352" i="2"/>
  <c r="Z351" i="2"/>
  <c r="V351" i="2"/>
  <c r="U351" i="2"/>
  <c r="W351" i="2" s="1"/>
  <c r="X351" i="2" s="1"/>
  <c r="AA351" i="2" s="1"/>
  <c r="Z350" i="2"/>
  <c r="V350" i="2"/>
  <c r="U350" i="2"/>
  <c r="Z349" i="2"/>
  <c r="V349" i="2"/>
  <c r="U349" i="2"/>
  <c r="W349" i="2" s="1"/>
  <c r="X349" i="2" s="1"/>
  <c r="AA349" i="2" s="1"/>
  <c r="Z348" i="2"/>
  <c r="V348" i="2"/>
  <c r="U348" i="2"/>
  <c r="W348" i="2" s="1"/>
  <c r="X348" i="2" s="1"/>
  <c r="AA348" i="2" s="1"/>
  <c r="Z347" i="2"/>
  <c r="X347" i="2"/>
  <c r="AA347" i="2" s="1"/>
  <c r="W347" i="2"/>
  <c r="V347" i="2"/>
  <c r="U347" i="2"/>
  <c r="Z346" i="2"/>
  <c r="V346" i="2"/>
  <c r="U346" i="2"/>
  <c r="Z345" i="2"/>
  <c r="V345" i="2"/>
  <c r="U345" i="2"/>
  <c r="W345" i="2" s="1"/>
  <c r="X345" i="2" s="1"/>
  <c r="AA345" i="2" s="1"/>
  <c r="Z344" i="2"/>
  <c r="V344" i="2"/>
  <c r="U344" i="2"/>
  <c r="Z343" i="2"/>
  <c r="V343" i="2"/>
  <c r="U343" i="2"/>
  <c r="W343" i="2" s="1"/>
  <c r="X343" i="2" s="1"/>
  <c r="AA343" i="2" s="1"/>
  <c r="Z342" i="2"/>
  <c r="V342" i="2"/>
  <c r="U342" i="2"/>
  <c r="Z341" i="2"/>
  <c r="X341" i="2"/>
  <c r="AA341" i="2" s="1"/>
  <c r="W341" i="2"/>
  <c r="V341" i="2"/>
  <c r="U341" i="2"/>
  <c r="Z340" i="2"/>
  <c r="V340" i="2"/>
  <c r="U340" i="2"/>
  <c r="Z339" i="2"/>
  <c r="X339" i="2"/>
  <c r="AA339" i="2" s="1"/>
  <c r="W339" i="2"/>
  <c r="V339" i="2"/>
  <c r="U339" i="2"/>
  <c r="Z338" i="2"/>
  <c r="V338" i="2"/>
  <c r="U338" i="2"/>
  <c r="Z337" i="2"/>
  <c r="V337" i="2"/>
  <c r="U337" i="2"/>
  <c r="W337" i="2" s="1"/>
  <c r="X337" i="2" s="1"/>
  <c r="AA337" i="2" s="1"/>
  <c r="Z336" i="2"/>
  <c r="V336" i="2"/>
  <c r="U336" i="2"/>
  <c r="W336" i="2" s="1"/>
  <c r="X336" i="2" s="1"/>
  <c r="AA336" i="2" s="1"/>
  <c r="Z335" i="2"/>
  <c r="X335" i="2"/>
  <c r="AA335" i="2" s="1"/>
  <c r="W335" i="2"/>
  <c r="V335" i="2"/>
  <c r="U335" i="2"/>
  <c r="Z334" i="2"/>
  <c r="V334" i="2"/>
  <c r="U334" i="2"/>
  <c r="Z333" i="2"/>
  <c r="V333" i="2"/>
  <c r="W333" i="2" s="1"/>
  <c r="X333" i="2" s="1"/>
  <c r="AA333" i="2" s="1"/>
  <c r="U333" i="2"/>
  <c r="Z332" i="2"/>
  <c r="V332" i="2"/>
  <c r="U332" i="2"/>
  <c r="Z331" i="2"/>
  <c r="V331" i="2"/>
  <c r="U331" i="2"/>
  <c r="W331" i="2" s="1"/>
  <c r="X331" i="2" s="1"/>
  <c r="AA331" i="2" s="1"/>
  <c r="Z330" i="2"/>
  <c r="V330" i="2"/>
  <c r="U330" i="2"/>
  <c r="W330" i="2" s="1"/>
  <c r="X330" i="2" s="1"/>
  <c r="AA330" i="2" s="1"/>
  <c r="Z329" i="2"/>
  <c r="X329" i="2"/>
  <c r="AA329" i="2" s="1"/>
  <c r="W329" i="2"/>
  <c r="V329" i="2"/>
  <c r="U329" i="2"/>
  <c r="Z328" i="2"/>
  <c r="V328" i="2"/>
  <c r="U328" i="2"/>
  <c r="Z327" i="2"/>
  <c r="V327" i="2"/>
  <c r="U327" i="2"/>
  <c r="W327" i="2" s="1"/>
  <c r="X327" i="2" s="1"/>
  <c r="AA327" i="2" s="1"/>
  <c r="Z326" i="2"/>
  <c r="V326" i="2"/>
  <c r="U326" i="2"/>
  <c r="Z325" i="2"/>
  <c r="V325" i="2"/>
  <c r="U325" i="2"/>
  <c r="W325" i="2" s="1"/>
  <c r="X325" i="2" s="1"/>
  <c r="AA325" i="2" s="1"/>
  <c r="Z324" i="2"/>
  <c r="V324" i="2"/>
  <c r="U324" i="2"/>
  <c r="Z323" i="2"/>
  <c r="X323" i="2"/>
  <c r="AA323" i="2" s="1"/>
  <c r="W323" i="2"/>
  <c r="V323" i="2"/>
  <c r="U323" i="2"/>
  <c r="Z322" i="2"/>
  <c r="V322" i="2"/>
  <c r="U322" i="2"/>
  <c r="Z321" i="2"/>
  <c r="W321" i="2"/>
  <c r="X321" i="2" s="1"/>
  <c r="AA321" i="2" s="1"/>
  <c r="V321" i="2"/>
  <c r="U321" i="2"/>
  <c r="Z320" i="2"/>
  <c r="V320" i="2"/>
  <c r="U320" i="2"/>
  <c r="Z319" i="2"/>
  <c r="V319" i="2"/>
  <c r="U319" i="2"/>
  <c r="W319" i="2" s="1"/>
  <c r="X319" i="2" s="1"/>
  <c r="AA319" i="2" s="1"/>
  <c r="Z318" i="2"/>
  <c r="V318" i="2"/>
  <c r="W318" i="2" s="1"/>
  <c r="X318" i="2" s="1"/>
  <c r="AA318" i="2" s="1"/>
  <c r="U318" i="2"/>
  <c r="Z317" i="2"/>
  <c r="V317" i="2"/>
  <c r="U317" i="2"/>
  <c r="W317" i="2" s="1"/>
  <c r="X317" i="2" s="1"/>
  <c r="AA317" i="2" s="1"/>
  <c r="Z316" i="2"/>
  <c r="V316" i="2"/>
  <c r="W316" i="2" s="1"/>
  <c r="X316" i="2" s="1"/>
  <c r="AA316" i="2" s="1"/>
  <c r="U316" i="2"/>
  <c r="Z315" i="2"/>
  <c r="V315" i="2"/>
  <c r="U315" i="2"/>
  <c r="W315" i="2" s="1"/>
  <c r="X315" i="2" s="1"/>
  <c r="AA315" i="2" s="1"/>
  <c r="Z314" i="2"/>
  <c r="X314" i="2"/>
  <c r="AA314" i="2" s="1"/>
  <c r="W314" i="2"/>
  <c r="V314" i="2"/>
  <c r="U314" i="2"/>
  <c r="Z313" i="2"/>
  <c r="V313" i="2"/>
  <c r="U313" i="2"/>
  <c r="W313" i="2" s="1"/>
  <c r="X313" i="2" s="1"/>
  <c r="AA313" i="2" s="1"/>
  <c r="Z312" i="2"/>
  <c r="V312" i="2"/>
  <c r="W312" i="2" s="1"/>
  <c r="X312" i="2" s="1"/>
  <c r="AA312" i="2" s="1"/>
  <c r="U312" i="2"/>
  <c r="Z311" i="2"/>
  <c r="V311" i="2"/>
  <c r="U311" i="2"/>
  <c r="W311" i="2" s="1"/>
  <c r="X311" i="2" s="1"/>
  <c r="AA311" i="2" s="1"/>
  <c r="Z310" i="2"/>
  <c r="V310" i="2"/>
  <c r="W310" i="2" s="1"/>
  <c r="X310" i="2" s="1"/>
  <c r="AA310" i="2" s="1"/>
  <c r="U310" i="2"/>
  <c r="Z309" i="2"/>
  <c r="V309" i="2"/>
  <c r="U309" i="2"/>
  <c r="W309" i="2" s="1"/>
  <c r="X309" i="2" s="1"/>
  <c r="AA309" i="2" s="1"/>
  <c r="Z308" i="2"/>
  <c r="V308" i="2"/>
  <c r="W308" i="2" s="1"/>
  <c r="X308" i="2" s="1"/>
  <c r="AA308" i="2" s="1"/>
  <c r="U308" i="2"/>
  <c r="Z307" i="2"/>
  <c r="V307" i="2"/>
  <c r="U307" i="2"/>
  <c r="W307" i="2" s="1"/>
  <c r="X307" i="2" s="1"/>
  <c r="AA307" i="2" s="1"/>
  <c r="Z306" i="2"/>
  <c r="X306" i="2"/>
  <c r="AA306" i="2" s="1"/>
  <c r="W306" i="2"/>
  <c r="V306" i="2"/>
  <c r="U306" i="2"/>
  <c r="Z305" i="2"/>
  <c r="V305" i="2"/>
  <c r="U305" i="2"/>
  <c r="W305" i="2" s="1"/>
  <c r="X305" i="2" s="1"/>
  <c r="AA305" i="2" s="1"/>
  <c r="Z304" i="2"/>
  <c r="V304" i="2"/>
  <c r="W304" i="2" s="1"/>
  <c r="X304" i="2" s="1"/>
  <c r="AA304" i="2" s="1"/>
  <c r="U304" i="2"/>
  <c r="Z303" i="2"/>
  <c r="V303" i="2"/>
  <c r="U303" i="2"/>
  <c r="W303" i="2" s="1"/>
  <c r="X303" i="2" s="1"/>
  <c r="AA303" i="2" s="1"/>
  <c r="Z302" i="2"/>
  <c r="W302" i="2"/>
  <c r="X302" i="2" s="1"/>
  <c r="AA302" i="2" s="1"/>
  <c r="V302" i="2"/>
  <c r="U302" i="2"/>
  <c r="Z301" i="2"/>
  <c r="V301" i="2"/>
  <c r="U301" i="2"/>
  <c r="W301" i="2" s="1"/>
  <c r="X301" i="2" s="1"/>
  <c r="AA301" i="2" s="1"/>
  <c r="Z300" i="2"/>
  <c r="V300" i="2"/>
  <c r="W300" i="2" s="1"/>
  <c r="X300" i="2" s="1"/>
  <c r="AA300" i="2" s="1"/>
  <c r="U300" i="2"/>
  <c r="Z299" i="2"/>
  <c r="V299" i="2"/>
  <c r="U299" i="2"/>
  <c r="W299" i="2" s="1"/>
  <c r="X299" i="2" s="1"/>
  <c r="AA299" i="2" s="1"/>
  <c r="AA298" i="2"/>
  <c r="Z298" i="2"/>
  <c r="X298" i="2"/>
  <c r="W298" i="2"/>
  <c r="V298" i="2"/>
  <c r="U298" i="2"/>
  <c r="Z297" i="2"/>
  <c r="V297" i="2"/>
  <c r="U297" i="2"/>
  <c r="W297" i="2" s="1"/>
  <c r="X297" i="2" s="1"/>
  <c r="AA297" i="2" s="1"/>
  <c r="Z296" i="2"/>
  <c r="X296" i="2"/>
  <c r="AA296" i="2" s="1"/>
  <c r="W296" i="2"/>
  <c r="V296" i="2"/>
  <c r="U296" i="2"/>
  <c r="Z295" i="2"/>
  <c r="V295" i="2"/>
  <c r="U295" i="2"/>
  <c r="W295" i="2" s="1"/>
  <c r="X295" i="2" s="1"/>
  <c r="AA295" i="2" s="1"/>
  <c r="Z294" i="2"/>
  <c r="V294" i="2"/>
  <c r="W294" i="2" s="1"/>
  <c r="X294" i="2" s="1"/>
  <c r="AA294" i="2" s="1"/>
  <c r="U294" i="2"/>
  <c r="Z293" i="2"/>
  <c r="V293" i="2"/>
  <c r="U293" i="2"/>
  <c r="W293" i="2" s="1"/>
  <c r="X293" i="2" s="1"/>
  <c r="AA293" i="2" s="1"/>
  <c r="Z292" i="2"/>
  <c r="V292" i="2"/>
  <c r="W292" i="2" s="1"/>
  <c r="X292" i="2" s="1"/>
  <c r="AA292" i="2" s="1"/>
  <c r="U292" i="2"/>
  <c r="Z291" i="2"/>
  <c r="V291" i="2"/>
  <c r="U291" i="2"/>
  <c r="W291" i="2" s="1"/>
  <c r="X291" i="2" s="1"/>
  <c r="AA291" i="2" s="1"/>
  <c r="Z290" i="2"/>
  <c r="X290" i="2"/>
  <c r="AA290" i="2" s="1"/>
  <c r="W290" i="2"/>
  <c r="V290" i="2"/>
  <c r="U290" i="2"/>
  <c r="Z289" i="2"/>
  <c r="V289" i="2"/>
  <c r="U289" i="2"/>
  <c r="W289" i="2" s="1"/>
  <c r="X289" i="2" s="1"/>
  <c r="AA289" i="2" s="1"/>
  <c r="Z288" i="2"/>
  <c r="V288" i="2"/>
  <c r="W288" i="2" s="1"/>
  <c r="X288" i="2" s="1"/>
  <c r="AA288" i="2" s="1"/>
  <c r="U288" i="2"/>
  <c r="Z287" i="2"/>
  <c r="V287" i="2"/>
  <c r="U287" i="2"/>
  <c r="W287" i="2" s="1"/>
  <c r="X287" i="2" s="1"/>
  <c r="AA287" i="2" s="1"/>
  <c r="Z286" i="2"/>
  <c r="W286" i="2"/>
  <c r="X286" i="2" s="1"/>
  <c r="AA286" i="2" s="1"/>
  <c r="V286" i="2"/>
  <c r="U286" i="2"/>
  <c r="Z285" i="2"/>
  <c r="V285" i="2"/>
  <c r="U285" i="2"/>
  <c r="W285" i="2" s="1"/>
  <c r="X285" i="2" s="1"/>
  <c r="AA285" i="2" s="1"/>
  <c r="Z284" i="2"/>
  <c r="V284" i="2"/>
  <c r="W284" i="2" s="1"/>
  <c r="X284" i="2" s="1"/>
  <c r="AA284" i="2" s="1"/>
  <c r="U284" i="2"/>
  <c r="Z283" i="2"/>
  <c r="V283" i="2"/>
  <c r="U283" i="2"/>
  <c r="W283" i="2" s="1"/>
  <c r="X283" i="2" s="1"/>
  <c r="AA283" i="2" s="1"/>
  <c r="AA282" i="2"/>
  <c r="Z282" i="2"/>
  <c r="X282" i="2"/>
  <c r="W282" i="2"/>
  <c r="V282" i="2"/>
  <c r="U282" i="2"/>
  <c r="Z281" i="2"/>
  <c r="V281" i="2"/>
  <c r="U281" i="2"/>
  <c r="W281" i="2" s="1"/>
  <c r="X281" i="2" s="1"/>
  <c r="AA281" i="2" s="1"/>
  <c r="AA280" i="2"/>
  <c r="Z280" i="2"/>
  <c r="X280" i="2"/>
  <c r="W280" i="2"/>
  <c r="V280" i="2"/>
  <c r="U280" i="2"/>
  <c r="Z279" i="2"/>
  <c r="V279" i="2"/>
  <c r="U279" i="2"/>
  <c r="W279" i="2" s="1"/>
  <c r="X279" i="2" s="1"/>
  <c r="AA279" i="2" s="1"/>
  <c r="Z278" i="2"/>
  <c r="W278" i="2"/>
  <c r="X278" i="2" s="1"/>
  <c r="AA278" i="2" s="1"/>
  <c r="V278" i="2"/>
  <c r="U278" i="2"/>
  <c r="Z277" i="2"/>
  <c r="V277" i="2"/>
  <c r="U277" i="2"/>
  <c r="W277" i="2" s="1"/>
  <c r="X277" i="2" s="1"/>
  <c r="AA277" i="2" s="1"/>
  <c r="Z276" i="2"/>
  <c r="V276" i="2"/>
  <c r="W276" i="2" s="1"/>
  <c r="X276" i="2" s="1"/>
  <c r="AA276" i="2" s="1"/>
  <c r="U276" i="2"/>
  <c r="Z275" i="2"/>
  <c r="V275" i="2"/>
  <c r="U275" i="2"/>
  <c r="W275" i="2" s="1"/>
  <c r="X275" i="2" s="1"/>
  <c r="AA275" i="2" s="1"/>
  <c r="Z274" i="2"/>
  <c r="X274" i="2"/>
  <c r="AA274" i="2" s="1"/>
  <c r="W274" i="2"/>
  <c r="V274" i="2"/>
  <c r="U274" i="2"/>
  <c r="Z273" i="2"/>
  <c r="V273" i="2"/>
  <c r="U273" i="2"/>
  <c r="W273" i="2" s="1"/>
  <c r="X273" i="2" s="1"/>
  <c r="AA273" i="2" s="1"/>
  <c r="Z272" i="2"/>
  <c r="W272" i="2"/>
  <c r="X272" i="2" s="1"/>
  <c r="AA272" i="2" s="1"/>
  <c r="V272" i="2"/>
  <c r="U272" i="2"/>
  <c r="Z271" i="2"/>
  <c r="V271" i="2"/>
  <c r="U271" i="2"/>
  <c r="W271" i="2" s="1"/>
  <c r="X271" i="2" s="1"/>
  <c r="AA271" i="2" s="1"/>
  <c r="Z270" i="2"/>
  <c r="V270" i="2"/>
  <c r="W270" i="2" s="1"/>
  <c r="X270" i="2" s="1"/>
  <c r="AA270" i="2" s="1"/>
  <c r="U270" i="2"/>
  <c r="Z269" i="2"/>
  <c r="V269" i="2"/>
  <c r="U269" i="2"/>
  <c r="W269" i="2" s="1"/>
  <c r="X269" i="2" s="1"/>
  <c r="AA269" i="2" s="1"/>
  <c r="Z268" i="2"/>
  <c r="V268" i="2"/>
  <c r="W268" i="2" s="1"/>
  <c r="X268" i="2" s="1"/>
  <c r="AA268" i="2" s="1"/>
  <c r="U268" i="2"/>
  <c r="Z267" i="2"/>
  <c r="V267" i="2"/>
  <c r="U267" i="2"/>
  <c r="W267" i="2" s="1"/>
  <c r="X267" i="2" s="1"/>
  <c r="AA267" i="2" s="1"/>
  <c r="Z266" i="2"/>
  <c r="X266" i="2"/>
  <c r="AA266" i="2" s="1"/>
  <c r="W266" i="2"/>
  <c r="V266" i="2"/>
  <c r="U266" i="2"/>
  <c r="Z265" i="2"/>
  <c r="V265" i="2"/>
  <c r="U265" i="2"/>
  <c r="W265" i="2" s="1"/>
  <c r="X265" i="2" s="1"/>
  <c r="AA265" i="2" s="1"/>
  <c r="Z264" i="2"/>
  <c r="W264" i="2"/>
  <c r="X264" i="2" s="1"/>
  <c r="AA264" i="2" s="1"/>
  <c r="V264" i="2"/>
  <c r="U264" i="2"/>
  <c r="Z263" i="2"/>
  <c r="V263" i="2"/>
  <c r="U263" i="2"/>
  <c r="W263" i="2" s="1"/>
  <c r="X263" i="2" s="1"/>
  <c r="AA263" i="2" s="1"/>
  <c r="Z262" i="2"/>
  <c r="W262" i="2"/>
  <c r="X262" i="2" s="1"/>
  <c r="AA262" i="2" s="1"/>
  <c r="V262" i="2"/>
  <c r="U262" i="2"/>
  <c r="Z261" i="2"/>
  <c r="V261" i="2"/>
  <c r="U261" i="2"/>
  <c r="W261" i="2" s="1"/>
  <c r="X261" i="2" s="1"/>
  <c r="AA261" i="2" s="1"/>
  <c r="Z260" i="2"/>
  <c r="V260" i="2"/>
  <c r="W260" i="2" s="1"/>
  <c r="X260" i="2" s="1"/>
  <c r="AA260" i="2" s="1"/>
  <c r="U260" i="2"/>
  <c r="Z259" i="2"/>
  <c r="V259" i="2"/>
  <c r="U259" i="2"/>
  <c r="W259" i="2" s="1"/>
  <c r="X259" i="2" s="1"/>
  <c r="AA259" i="2" s="1"/>
  <c r="AA258" i="2"/>
  <c r="Z258" i="2"/>
  <c r="X258" i="2"/>
  <c r="W258" i="2"/>
  <c r="V258" i="2"/>
  <c r="U258" i="2"/>
  <c r="Z257" i="2"/>
  <c r="V257" i="2"/>
  <c r="U257" i="2"/>
  <c r="W257" i="2" s="1"/>
  <c r="X257" i="2" s="1"/>
  <c r="AA257" i="2" s="1"/>
  <c r="Z256" i="2"/>
  <c r="W256" i="2"/>
  <c r="X256" i="2" s="1"/>
  <c r="AA256" i="2" s="1"/>
  <c r="V256" i="2"/>
  <c r="U256" i="2"/>
  <c r="Z255" i="2"/>
  <c r="V255" i="2"/>
  <c r="U255" i="2"/>
  <c r="W255" i="2" s="1"/>
  <c r="X255" i="2" s="1"/>
  <c r="AA255" i="2" s="1"/>
  <c r="Z254" i="2"/>
  <c r="W254" i="2"/>
  <c r="X254" i="2" s="1"/>
  <c r="AA254" i="2" s="1"/>
  <c r="V254" i="2"/>
  <c r="U254" i="2"/>
  <c r="Z253" i="2"/>
  <c r="V253" i="2"/>
  <c r="U253" i="2"/>
  <c r="W253" i="2" s="1"/>
  <c r="X253" i="2" s="1"/>
  <c r="AA253" i="2" s="1"/>
  <c r="Z252" i="2"/>
  <c r="V252" i="2"/>
  <c r="W252" i="2" s="1"/>
  <c r="X252" i="2" s="1"/>
  <c r="AA252" i="2" s="1"/>
  <c r="U252" i="2"/>
  <c r="Z251" i="2"/>
  <c r="V251" i="2"/>
  <c r="U251" i="2"/>
  <c r="W251" i="2" s="1"/>
  <c r="X251" i="2" s="1"/>
  <c r="AA251" i="2" s="1"/>
  <c r="Z250" i="2"/>
  <c r="X250" i="2"/>
  <c r="AA250" i="2" s="1"/>
  <c r="W250" i="2"/>
  <c r="V250" i="2"/>
  <c r="U250" i="2"/>
  <c r="Z249" i="2"/>
  <c r="V249" i="2"/>
  <c r="U249" i="2"/>
  <c r="W249" i="2" s="1"/>
  <c r="X249" i="2" s="1"/>
  <c r="AA249" i="2" s="1"/>
  <c r="Z248" i="2"/>
  <c r="W248" i="2"/>
  <c r="X248" i="2" s="1"/>
  <c r="AA248" i="2" s="1"/>
  <c r="V248" i="2"/>
  <c r="U248" i="2"/>
  <c r="Z247" i="2"/>
  <c r="V247" i="2"/>
  <c r="U247" i="2"/>
  <c r="W247" i="2" s="1"/>
  <c r="X247" i="2" s="1"/>
  <c r="AA247" i="2" s="1"/>
  <c r="Z246" i="2"/>
  <c r="W246" i="2"/>
  <c r="X246" i="2" s="1"/>
  <c r="AA246" i="2" s="1"/>
  <c r="V246" i="2"/>
  <c r="U246" i="2"/>
  <c r="Z245" i="2"/>
  <c r="V245" i="2"/>
  <c r="U245" i="2"/>
  <c r="W245" i="2" s="1"/>
  <c r="X245" i="2" s="1"/>
  <c r="AA245" i="2" s="1"/>
  <c r="Z244" i="2"/>
  <c r="V244" i="2"/>
  <c r="W244" i="2" s="1"/>
  <c r="X244" i="2" s="1"/>
  <c r="AA244" i="2" s="1"/>
  <c r="U244" i="2"/>
  <c r="Z243" i="2"/>
  <c r="V243" i="2"/>
  <c r="U243" i="2"/>
  <c r="W243" i="2" s="1"/>
  <c r="X243" i="2" s="1"/>
  <c r="AA243" i="2" s="1"/>
  <c r="AA242" i="2"/>
  <c r="Z242" i="2"/>
  <c r="X242" i="2"/>
  <c r="W242" i="2"/>
  <c r="V242" i="2"/>
  <c r="U242" i="2"/>
  <c r="Z241" i="2"/>
  <c r="V241" i="2"/>
  <c r="U241" i="2"/>
  <c r="W241" i="2" s="1"/>
  <c r="X241" i="2" s="1"/>
  <c r="AA241" i="2" s="1"/>
  <c r="Z240" i="2"/>
  <c r="X240" i="2"/>
  <c r="AA240" i="2" s="1"/>
  <c r="W240" i="2"/>
  <c r="V240" i="2"/>
  <c r="U240" i="2"/>
  <c r="Z239" i="2"/>
  <c r="V239" i="2"/>
  <c r="U239" i="2"/>
  <c r="W239" i="2" s="1"/>
  <c r="X239" i="2" s="1"/>
  <c r="AA239" i="2" s="1"/>
  <c r="Z238" i="2"/>
  <c r="V238" i="2"/>
  <c r="W238" i="2" s="1"/>
  <c r="X238" i="2" s="1"/>
  <c r="AA238" i="2" s="1"/>
  <c r="U238" i="2"/>
  <c r="Z237" i="2"/>
  <c r="V237" i="2"/>
  <c r="U237" i="2"/>
  <c r="W237" i="2" s="1"/>
  <c r="X237" i="2" s="1"/>
  <c r="AA237" i="2" s="1"/>
  <c r="Z236" i="2"/>
  <c r="V236" i="2"/>
  <c r="W236" i="2" s="1"/>
  <c r="X236" i="2" s="1"/>
  <c r="AA236" i="2" s="1"/>
  <c r="U236" i="2"/>
  <c r="Z235" i="2"/>
  <c r="V235" i="2"/>
  <c r="U235" i="2"/>
  <c r="W235" i="2" s="1"/>
  <c r="X235" i="2" s="1"/>
  <c r="AA235" i="2" s="1"/>
  <c r="Z234" i="2"/>
  <c r="X234" i="2"/>
  <c r="AA234" i="2" s="1"/>
  <c r="W234" i="2"/>
  <c r="V234" i="2"/>
  <c r="U234" i="2"/>
  <c r="Z233" i="2"/>
  <c r="V233" i="2"/>
  <c r="U233" i="2"/>
  <c r="W233" i="2" s="1"/>
  <c r="X233" i="2" s="1"/>
  <c r="AA233" i="2" s="1"/>
  <c r="Z232" i="2"/>
  <c r="V232" i="2"/>
  <c r="W232" i="2" s="1"/>
  <c r="X232" i="2" s="1"/>
  <c r="AA232" i="2" s="1"/>
  <c r="U232" i="2"/>
  <c r="Z231" i="2"/>
  <c r="V231" i="2"/>
  <c r="U231" i="2"/>
  <c r="W231" i="2" s="1"/>
  <c r="X231" i="2" s="1"/>
  <c r="AA231" i="2" s="1"/>
  <c r="Z230" i="2"/>
  <c r="V230" i="2"/>
  <c r="W230" i="2" s="1"/>
  <c r="X230" i="2" s="1"/>
  <c r="AA230" i="2" s="1"/>
  <c r="U230" i="2"/>
  <c r="Z229" i="2"/>
  <c r="V229" i="2"/>
  <c r="U229" i="2"/>
  <c r="W229" i="2" s="1"/>
  <c r="X229" i="2" s="1"/>
  <c r="AA229" i="2" s="1"/>
  <c r="Z228" i="2"/>
  <c r="V228" i="2"/>
  <c r="W228" i="2" s="1"/>
  <c r="X228" i="2" s="1"/>
  <c r="AA228" i="2" s="1"/>
  <c r="U228" i="2"/>
  <c r="Z227" i="2"/>
  <c r="V227" i="2"/>
  <c r="U227" i="2"/>
  <c r="W227" i="2" s="1"/>
  <c r="X227" i="2" s="1"/>
  <c r="AA227" i="2" s="1"/>
  <c r="Z226" i="2"/>
  <c r="X226" i="2"/>
  <c r="AA226" i="2" s="1"/>
  <c r="W226" i="2"/>
  <c r="V226" i="2"/>
  <c r="U226" i="2"/>
  <c r="Z225" i="2"/>
  <c r="V225" i="2"/>
  <c r="U225" i="2"/>
  <c r="W225" i="2" s="1"/>
  <c r="X225" i="2" s="1"/>
  <c r="AA225" i="2" s="1"/>
  <c r="Z224" i="2"/>
  <c r="V224" i="2"/>
  <c r="W224" i="2" s="1"/>
  <c r="X224" i="2" s="1"/>
  <c r="AA224" i="2" s="1"/>
  <c r="U224" i="2"/>
  <c r="Z223" i="2"/>
  <c r="V223" i="2"/>
  <c r="U223" i="2"/>
  <c r="W223" i="2" s="1"/>
  <c r="X223" i="2" s="1"/>
  <c r="AA223" i="2" s="1"/>
  <c r="Z222" i="2"/>
  <c r="V222" i="2"/>
  <c r="W222" i="2" s="1"/>
  <c r="X222" i="2" s="1"/>
  <c r="AA222" i="2" s="1"/>
  <c r="U222" i="2"/>
  <c r="Z221" i="2"/>
  <c r="V221" i="2"/>
  <c r="U221" i="2"/>
  <c r="W221" i="2" s="1"/>
  <c r="X221" i="2" s="1"/>
  <c r="AA221" i="2" s="1"/>
  <c r="Z220" i="2"/>
  <c r="V220" i="2"/>
  <c r="W220" i="2" s="1"/>
  <c r="X220" i="2" s="1"/>
  <c r="AA220" i="2" s="1"/>
  <c r="U220" i="2"/>
  <c r="Z219" i="2"/>
  <c r="V219" i="2"/>
  <c r="U219" i="2"/>
  <c r="W219" i="2" s="1"/>
  <c r="X219" i="2" s="1"/>
  <c r="AA219" i="2" s="1"/>
  <c r="AA218" i="2"/>
  <c r="Z218" i="2"/>
  <c r="X218" i="2"/>
  <c r="W218" i="2"/>
  <c r="V218" i="2"/>
  <c r="U218" i="2"/>
  <c r="Z217" i="2"/>
  <c r="V217" i="2"/>
  <c r="U217" i="2"/>
  <c r="W217" i="2" s="1"/>
  <c r="X217" i="2" s="1"/>
  <c r="AA217" i="2" s="1"/>
  <c r="Z216" i="2"/>
  <c r="W216" i="2"/>
  <c r="X216" i="2" s="1"/>
  <c r="AA216" i="2" s="1"/>
  <c r="V216" i="2"/>
  <c r="U216" i="2"/>
  <c r="Z215" i="2"/>
  <c r="V215" i="2"/>
  <c r="U215" i="2"/>
  <c r="W215" i="2" s="1"/>
  <c r="X215" i="2" s="1"/>
  <c r="AA215" i="2" s="1"/>
  <c r="Z214" i="2"/>
  <c r="V214" i="2"/>
  <c r="W214" i="2" s="1"/>
  <c r="X214" i="2" s="1"/>
  <c r="AA214" i="2" s="1"/>
  <c r="U214" i="2"/>
  <c r="Z213" i="2"/>
  <c r="X213" i="2"/>
  <c r="AA213" i="2" s="1"/>
  <c r="V213" i="2"/>
  <c r="U213" i="2"/>
  <c r="W213" i="2" s="1"/>
  <c r="Z212" i="2"/>
  <c r="V212" i="2"/>
  <c r="W212" i="2" s="1"/>
  <c r="X212" i="2" s="1"/>
  <c r="AA212" i="2" s="1"/>
  <c r="U212" i="2"/>
  <c r="Z211" i="2"/>
  <c r="X211" i="2"/>
  <c r="AA211" i="2" s="1"/>
  <c r="V211" i="2"/>
  <c r="U211" i="2"/>
  <c r="W211" i="2" s="1"/>
  <c r="Z210" i="2"/>
  <c r="V210" i="2"/>
  <c r="W210" i="2" s="1"/>
  <c r="X210" i="2" s="1"/>
  <c r="AA210" i="2" s="1"/>
  <c r="U210" i="2"/>
  <c r="Z209" i="2"/>
  <c r="V209" i="2"/>
  <c r="U209" i="2"/>
  <c r="W209" i="2" s="1"/>
  <c r="X209" i="2" s="1"/>
  <c r="AA209" i="2" s="1"/>
  <c r="Z208" i="2"/>
  <c r="V208" i="2"/>
  <c r="W208" i="2" s="1"/>
  <c r="X208" i="2" s="1"/>
  <c r="AA208" i="2" s="1"/>
  <c r="U208" i="2"/>
  <c r="Z207" i="2"/>
  <c r="X207" i="2"/>
  <c r="AA207" i="2" s="1"/>
  <c r="V207" i="2"/>
  <c r="U207" i="2"/>
  <c r="W207" i="2" s="1"/>
  <c r="AA206" i="2"/>
  <c r="Z206" i="2"/>
  <c r="X206" i="2"/>
  <c r="W206" i="2"/>
  <c r="V206" i="2"/>
  <c r="U206" i="2"/>
  <c r="Z205" i="2"/>
  <c r="V205" i="2"/>
  <c r="U205" i="2"/>
  <c r="W205" i="2" s="1"/>
  <c r="X205" i="2" s="1"/>
  <c r="AA205" i="2" s="1"/>
  <c r="AA204" i="2"/>
  <c r="Z204" i="2"/>
  <c r="X204" i="2"/>
  <c r="W204" i="2"/>
  <c r="V204" i="2"/>
  <c r="U204" i="2"/>
  <c r="Z203" i="2"/>
  <c r="V203" i="2"/>
  <c r="U203" i="2"/>
  <c r="W203" i="2" s="1"/>
  <c r="X203" i="2" s="1"/>
  <c r="AA203" i="2" s="1"/>
  <c r="Z202" i="2"/>
  <c r="W202" i="2"/>
  <c r="X202" i="2" s="1"/>
  <c r="AA202" i="2" s="1"/>
  <c r="V202" i="2"/>
  <c r="U202" i="2"/>
  <c r="Z201" i="2"/>
  <c r="V201" i="2"/>
  <c r="U201" i="2"/>
  <c r="W201" i="2" s="1"/>
  <c r="X201" i="2" s="1"/>
  <c r="AA201" i="2" s="1"/>
  <c r="Z200" i="2"/>
  <c r="V200" i="2"/>
  <c r="U200" i="2"/>
  <c r="W200" i="2" s="1"/>
  <c r="X200" i="2" s="1"/>
  <c r="AA200" i="2" s="1"/>
  <c r="Z199" i="2"/>
  <c r="V199" i="2"/>
  <c r="U199" i="2"/>
  <c r="W199" i="2" s="1"/>
  <c r="X199" i="2" s="1"/>
  <c r="AA199" i="2" s="1"/>
  <c r="Z198" i="2"/>
  <c r="V198" i="2"/>
  <c r="U198" i="2"/>
  <c r="W198" i="2" s="1"/>
  <c r="X198" i="2" s="1"/>
  <c r="AA198" i="2" s="1"/>
  <c r="Z197" i="2"/>
  <c r="V197" i="2"/>
  <c r="U197" i="2"/>
  <c r="W197" i="2" s="1"/>
  <c r="X197" i="2" s="1"/>
  <c r="AA197" i="2" s="1"/>
  <c r="AA196" i="2"/>
  <c r="Z196" i="2"/>
  <c r="X196" i="2"/>
  <c r="W196" i="2"/>
  <c r="V196" i="2"/>
  <c r="U196" i="2"/>
  <c r="Z195" i="2"/>
  <c r="V195" i="2"/>
  <c r="U195" i="2"/>
  <c r="W195" i="2" s="1"/>
  <c r="X195" i="2" s="1"/>
  <c r="AA195" i="2" s="1"/>
  <c r="Z194" i="2"/>
  <c r="W194" i="2"/>
  <c r="X194" i="2" s="1"/>
  <c r="AA194" i="2" s="1"/>
  <c r="V194" i="2"/>
  <c r="U194" i="2"/>
  <c r="Z193" i="2"/>
  <c r="V193" i="2"/>
  <c r="U193" i="2"/>
  <c r="W193" i="2" s="1"/>
  <c r="X193" i="2" s="1"/>
  <c r="AA193" i="2" s="1"/>
  <c r="Z192" i="2"/>
  <c r="V192" i="2"/>
  <c r="U192" i="2"/>
  <c r="W192" i="2" s="1"/>
  <c r="X192" i="2" s="1"/>
  <c r="AA192" i="2" s="1"/>
  <c r="Z191" i="2"/>
  <c r="V191" i="2"/>
  <c r="U191" i="2"/>
  <c r="W191" i="2" s="1"/>
  <c r="X191" i="2" s="1"/>
  <c r="AA191" i="2" s="1"/>
  <c r="Z190" i="2"/>
  <c r="V190" i="2"/>
  <c r="U190" i="2"/>
  <c r="W190" i="2" s="1"/>
  <c r="X190" i="2" s="1"/>
  <c r="AA190" i="2" s="1"/>
  <c r="Z189" i="2"/>
  <c r="V189" i="2"/>
  <c r="U189" i="2"/>
  <c r="W189" i="2" s="1"/>
  <c r="X189" i="2" s="1"/>
  <c r="AA189" i="2" s="1"/>
  <c r="AA188" i="2"/>
  <c r="Z188" i="2"/>
  <c r="X188" i="2"/>
  <c r="W188" i="2"/>
  <c r="V188" i="2"/>
  <c r="U188" i="2"/>
  <c r="Z187" i="2"/>
  <c r="V187" i="2"/>
  <c r="U187" i="2"/>
  <c r="W187" i="2" s="1"/>
  <c r="X187" i="2" s="1"/>
  <c r="AA187" i="2" s="1"/>
  <c r="Z186" i="2"/>
  <c r="W186" i="2"/>
  <c r="X186" i="2" s="1"/>
  <c r="AA186" i="2" s="1"/>
  <c r="V186" i="2"/>
  <c r="U186" i="2"/>
  <c r="Z185" i="2"/>
  <c r="V185" i="2"/>
  <c r="U185" i="2"/>
  <c r="W185" i="2" s="1"/>
  <c r="X185" i="2" s="1"/>
  <c r="AA185" i="2" s="1"/>
  <c r="Z184" i="2"/>
  <c r="V184" i="2"/>
  <c r="U184" i="2"/>
  <c r="W184" i="2" s="1"/>
  <c r="X184" i="2" s="1"/>
  <c r="AA184" i="2" s="1"/>
  <c r="Z183" i="2"/>
  <c r="V183" i="2"/>
  <c r="U183" i="2"/>
  <c r="W183" i="2" s="1"/>
  <c r="X183" i="2" s="1"/>
  <c r="AA183" i="2" s="1"/>
  <c r="Z182" i="2"/>
  <c r="V182" i="2"/>
  <c r="U182" i="2"/>
  <c r="W182" i="2" s="1"/>
  <c r="X182" i="2" s="1"/>
  <c r="AA182" i="2" s="1"/>
  <c r="Z181" i="2"/>
  <c r="V181" i="2"/>
  <c r="U181" i="2"/>
  <c r="W181" i="2" s="1"/>
  <c r="X181" i="2" s="1"/>
  <c r="AA181" i="2" s="1"/>
  <c r="AA180" i="2"/>
  <c r="Z180" i="2"/>
  <c r="X180" i="2"/>
  <c r="W180" i="2"/>
  <c r="V180" i="2"/>
  <c r="U180" i="2"/>
  <c r="Z179" i="2"/>
  <c r="V179" i="2"/>
  <c r="U179" i="2"/>
  <c r="W179" i="2" s="1"/>
  <c r="X179" i="2" s="1"/>
  <c r="AA179" i="2" s="1"/>
  <c r="Z178" i="2"/>
  <c r="W178" i="2"/>
  <c r="X178" i="2" s="1"/>
  <c r="AA178" i="2" s="1"/>
  <c r="V178" i="2"/>
  <c r="U178" i="2"/>
  <c r="Z177" i="2"/>
  <c r="V177" i="2"/>
  <c r="U177" i="2"/>
  <c r="W177" i="2" s="1"/>
  <c r="X177" i="2" s="1"/>
  <c r="AA177" i="2" s="1"/>
  <c r="Z176" i="2"/>
  <c r="V176" i="2"/>
  <c r="U176" i="2"/>
  <c r="W176" i="2" s="1"/>
  <c r="X176" i="2" s="1"/>
  <c r="AA176" i="2" s="1"/>
  <c r="Z175" i="2"/>
  <c r="V175" i="2"/>
  <c r="U175" i="2"/>
  <c r="W175" i="2" s="1"/>
  <c r="X175" i="2" s="1"/>
  <c r="AA175" i="2" s="1"/>
  <c r="Z174" i="2"/>
  <c r="V174" i="2"/>
  <c r="U174" i="2"/>
  <c r="W174" i="2" s="1"/>
  <c r="X174" i="2" s="1"/>
  <c r="AA174" i="2" s="1"/>
  <c r="Z173" i="2"/>
  <c r="V173" i="2"/>
  <c r="U173" i="2"/>
  <c r="W173" i="2" s="1"/>
  <c r="X173" i="2" s="1"/>
  <c r="AA173" i="2" s="1"/>
  <c r="AA172" i="2"/>
  <c r="Z172" i="2"/>
  <c r="X172" i="2"/>
  <c r="W172" i="2"/>
  <c r="V172" i="2"/>
  <c r="U172" i="2"/>
  <c r="Z171" i="2"/>
  <c r="V171" i="2"/>
  <c r="U171" i="2"/>
  <c r="W171" i="2" s="1"/>
  <c r="X171" i="2" s="1"/>
  <c r="AA171" i="2" s="1"/>
  <c r="Z170" i="2"/>
  <c r="W170" i="2"/>
  <c r="X170" i="2" s="1"/>
  <c r="AA170" i="2" s="1"/>
  <c r="V170" i="2"/>
  <c r="U170" i="2"/>
  <c r="Z169" i="2"/>
  <c r="V169" i="2"/>
  <c r="U169" i="2"/>
  <c r="W169" i="2" s="1"/>
  <c r="X169" i="2" s="1"/>
  <c r="AA169" i="2" s="1"/>
  <c r="Z168" i="2"/>
  <c r="V168" i="2"/>
  <c r="U168" i="2"/>
  <c r="W168" i="2" s="1"/>
  <c r="X168" i="2" s="1"/>
  <c r="AA168" i="2" s="1"/>
  <c r="AA167" i="2"/>
  <c r="Z167" i="2"/>
  <c r="W167" i="2"/>
  <c r="X167" i="2" s="1"/>
  <c r="V167" i="2"/>
  <c r="U167" i="2"/>
  <c r="Z166" i="2"/>
  <c r="V166" i="2"/>
  <c r="U166" i="2"/>
  <c r="W166" i="2" s="1"/>
  <c r="X166" i="2" s="1"/>
  <c r="AA166" i="2" s="1"/>
  <c r="AA165" i="2"/>
  <c r="Z165" i="2"/>
  <c r="W165" i="2"/>
  <c r="X165" i="2" s="1"/>
  <c r="V165" i="2"/>
  <c r="U165" i="2"/>
  <c r="Z164" i="2"/>
  <c r="V164" i="2"/>
  <c r="U164" i="2"/>
  <c r="W164" i="2" s="1"/>
  <c r="X164" i="2" s="1"/>
  <c r="AA164" i="2" s="1"/>
  <c r="Z163" i="2"/>
  <c r="W163" i="2"/>
  <c r="X163" i="2" s="1"/>
  <c r="AA163" i="2" s="1"/>
  <c r="V163" i="2"/>
  <c r="U163" i="2"/>
  <c r="Z162" i="2"/>
  <c r="V162" i="2"/>
  <c r="U162" i="2"/>
  <c r="W162" i="2" s="1"/>
  <c r="X162" i="2" s="1"/>
  <c r="AA162" i="2" s="1"/>
  <c r="Z161" i="2"/>
  <c r="W161" i="2"/>
  <c r="X161" i="2" s="1"/>
  <c r="AA161" i="2" s="1"/>
  <c r="V161" i="2"/>
  <c r="U161" i="2"/>
  <c r="Z160" i="2"/>
  <c r="V160" i="2"/>
  <c r="U160" i="2"/>
  <c r="W160" i="2" s="1"/>
  <c r="X160" i="2" s="1"/>
  <c r="AA160" i="2" s="1"/>
  <c r="Z159" i="2"/>
  <c r="V159" i="2"/>
  <c r="U159" i="2"/>
  <c r="W159" i="2" s="1"/>
  <c r="X159" i="2" s="1"/>
  <c r="AA159" i="2" s="1"/>
  <c r="Z158" i="2"/>
  <c r="V158" i="2"/>
  <c r="U158" i="2"/>
  <c r="W158" i="2" s="1"/>
  <c r="X158" i="2" s="1"/>
  <c r="AA158" i="2" s="1"/>
  <c r="Z157" i="2"/>
  <c r="V157" i="2"/>
  <c r="U157" i="2"/>
  <c r="W157" i="2" s="1"/>
  <c r="X157" i="2" s="1"/>
  <c r="AA157" i="2" s="1"/>
  <c r="Z156" i="2"/>
  <c r="V156" i="2"/>
  <c r="U156" i="2"/>
  <c r="W156" i="2" s="1"/>
  <c r="X156" i="2" s="1"/>
  <c r="AA156" i="2" s="1"/>
  <c r="Z155" i="2"/>
  <c r="V155" i="2"/>
  <c r="U155" i="2"/>
  <c r="W155" i="2" s="1"/>
  <c r="X155" i="2" s="1"/>
  <c r="AA155" i="2" s="1"/>
  <c r="AA154" i="2"/>
  <c r="Z154" i="2"/>
  <c r="X154" i="2"/>
  <c r="W154" i="2"/>
  <c r="V154" i="2"/>
  <c r="U154" i="2"/>
  <c r="Z153" i="2"/>
  <c r="V153" i="2"/>
  <c r="U153" i="2"/>
  <c r="W153" i="2" s="1"/>
  <c r="X153" i="2" s="1"/>
  <c r="AA153" i="2" s="1"/>
  <c r="Z152" i="2"/>
  <c r="W152" i="2"/>
  <c r="X152" i="2" s="1"/>
  <c r="AA152" i="2" s="1"/>
  <c r="V152" i="2"/>
  <c r="U152" i="2"/>
  <c r="Z151" i="2"/>
  <c r="V151" i="2"/>
  <c r="U151" i="2"/>
  <c r="W151" i="2" s="1"/>
  <c r="X151" i="2" s="1"/>
  <c r="AA151" i="2" s="1"/>
  <c r="Z150" i="2"/>
  <c r="V150" i="2"/>
  <c r="W150" i="2" s="1"/>
  <c r="X150" i="2" s="1"/>
  <c r="AA150" i="2" s="1"/>
  <c r="U150" i="2"/>
  <c r="Z149" i="2"/>
  <c r="V149" i="2"/>
  <c r="U149" i="2"/>
  <c r="W149" i="2" s="1"/>
  <c r="X149" i="2" s="1"/>
  <c r="AA149" i="2" s="1"/>
  <c r="Z148" i="2"/>
  <c r="W148" i="2"/>
  <c r="X148" i="2" s="1"/>
  <c r="AA148" i="2" s="1"/>
  <c r="V148" i="2"/>
  <c r="U148" i="2"/>
  <c r="Z147" i="2"/>
  <c r="V147" i="2"/>
  <c r="U147" i="2"/>
  <c r="W147" i="2" s="1"/>
  <c r="X147" i="2" s="1"/>
  <c r="AA147" i="2" s="1"/>
  <c r="Z146" i="2"/>
  <c r="V146" i="2"/>
  <c r="U146" i="2"/>
  <c r="W146" i="2" s="1"/>
  <c r="X146" i="2" s="1"/>
  <c r="AA146" i="2" s="1"/>
  <c r="Z145" i="2"/>
  <c r="V145" i="2"/>
  <c r="U145" i="2"/>
  <c r="W145" i="2" s="1"/>
  <c r="X145" i="2" s="1"/>
  <c r="AA145" i="2" s="1"/>
  <c r="Z144" i="2"/>
  <c r="V144" i="2"/>
  <c r="U144" i="2"/>
  <c r="W144" i="2" s="1"/>
  <c r="X144" i="2" s="1"/>
  <c r="AA144" i="2" s="1"/>
  <c r="AA143" i="2"/>
  <c r="Z143" i="2"/>
  <c r="W143" i="2"/>
  <c r="X143" i="2" s="1"/>
  <c r="V143" i="2"/>
  <c r="U143" i="2"/>
  <c r="Z142" i="2"/>
  <c r="V142" i="2"/>
  <c r="U142" i="2"/>
  <c r="W142" i="2" s="1"/>
  <c r="X142" i="2" s="1"/>
  <c r="AA142" i="2" s="1"/>
  <c r="AA141" i="2"/>
  <c r="Z141" i="2"/>
  <c r="W141" i="2"/>
  <c r="X141" i="2" s="1"/>
  <c r="V141" i="2"/>
  <c r="U141" i="2"/>
  <c r="Z140" i="2"/>
  <c r="V140" i="2"/>
  <c r="U140" i="2"/>
  <c r="W140" i="2" s="1"/>
  <c r="X140" i="2" s="1"/>
  <c r="AA140" i="2" s="1"/>
  <c r="Z139" i="2"/>
  <c r="W139" i="2"/>
  <c r="X139" i="2" s="1"/>
  <c r="AA139" i="2" s="1"/>
  <c r="V139" i="2"/>
  <c r="U139" i="2"/>
  <c r="Z138" i="2"/>
  <c r="V138" i="2"/>
  <c r="U138" i="2"/>
  <c r="W138" i="2" s="1"/>
  <c r="X138" i="2" s="1"/>
  <c r="AA138" i="2" s="1"/>
  <c r="Z137" i="2"/>
  <c r="W137" i="2"/>
  <c r="X137" i="2" s="1"/>
  <c r="AA137" i="2" s="1"/>
  <c r="V137" i="2"/>
  <c r="U137" i="2"/>
  <c r="Z136" i="2"/>
  <c r="V136" i="2"/>
  <c r="U136" i="2"/>
  <c r="W136" i="2" s="1"/>
  <c r="X136" i="2" s="1"/>
  <c r="AA136" i="2" s="1"/>
  <c r="Z135" i="2"/>
  <c r="V135" i="2"/>
  <c r="U135" i="2"/>
  <c r="W135" i="2" s="1"/>
  <c r="X135" i="2" s="1"/>
  <c r="AA135" i="2" s="1"/>
  <c r="Z134" i="2"/>
  <c r="V134" i="2"/>
  <c r="U134" i="2"/>
  <c r="W134" i="2" s="1"/>
  <c r="X134" i="2" s="1"/>
  <c r="AA134" i="2" s="1"/>
  <c r="Z133" i="2"/>
  <c r="V133" i="2"/>
  <c r="U133" i="2"/>
  <c r="W133" i="2" s="1"/>
  <c r="X133" i="2" s="1"/>
  <c r="AA133" i="2" s="1"/>
  <c r="Z132" i="2"/>
  <c r="V132" i="2"/>
  <c r="U132" i="2"/>
  <c r="W132" i="2" s="1"/>
  <c r="X132" i="2" s="1"/>
  <c r="AA132" i="2" s="1"/>
  <c r="Z131" i="2"/>
  <c r="V131" i="2"/>
  <c r="U131" i="2"/>
  <c r="W131" i="2" s="1"/>
  <c r="X131" i="2" s="1"/>
  <c r="AA131" i="2" s="1"/>
  <c r="AA130" i="2"/>
  <c r="Z130" i="2"/>
  <c r="X130" i="2"/>
  <c r="W130" i="2"/>
  <c r="V130" i="2"/>
  <c r="U130" i="2"/>
  <c r="Z129" i="2"/>
  <c r="V129" i="2"/>
  <c r="U129" i="2"/>
  <c r="W129" i="2" s="1"/>
  <c r="X129" i="2" s="1"/>
  <c r="AA129" i="2" s="1"/>
  <c r="Z128" i="2"/>
  <c r="W128" i="2"/>
  <c r="X128" i="2" s="1"/>
  <c r="AA128" i="2" s="1"/>
  <c r="V128" i="2"/>
  <c r="U128" i="2"/>
  <c r="Z127" i="2"/>
  <c r="V127" i="2"/>
  <c r="U127" i="2"/>
  <c r="W127" i="2" s="1"/>
  <c r="X127" i="2" s="1"/>
  <c r="AA127" i="2" s="1"/>
  <c r="Z126" i="2"/>
  <c r="V126" i="2"/>
  <c r="W126" i="2" s="1"/>
  <c r="X126" i="2" s="1"/>
  <c r="AA126" i="2" s="1"/>
  <c r="U126" i="2"/>
  <c r="Z125" i="2"/>
  <c r="V125" i="2"/>
  <c r="U125" i="2"/>
  <c r="W125" i="2" s="1"/>
  <c r="X125" i="2" s="1"/>
  <c r="AA125" i="2" s="1"/>
  <c r="Z124" i="2"/>
  <c r="W124" i="2"/>
  <c r="X124" i="2" s="1"/>
  <c r="AA124" i="2" s="1"/>
  <c r="V124" i="2"/>
  <c r="U124" i="2"/>
  <c r="Z123" i="2"/>
  <c r="V123" i="2"/>
  <c r="U123" i="2"/>
  <c r="W123" i="2" s="1"/>
  <c r="X123" i="2" s="1"/>
  <c r="AA123" i="2" s="1"/>
  <c r="Z122" i="2"/>
  <c r="V122" i="2"/>
  <c r="U122" i="2"/>
  <c r="W122" i="2" s="1"/>
  <c r="X122" i="2" s="1"/>
  <c r="AA122" i="2" s="1"/>
  <c r="Z121" i="2"/>
  <c r="V121" i="2"/>
  <c r="U121" i="2"/>
  <c r="W121" i="2" s="1"/>
  <c r="X121" i="2" s="1"/>
  <c r="AA121" i="2" s="1"/>
  <c r="Z120" i="2"/>
  <c r="V120" i="2"/>
  <c r="U120" i="2"/>
  <c r="W120" i="2" s="1"/>
  <c r="X120" i="2" s="1"/>
  <c r="AA120" i="2" s="1"/>
  <c r="AA119" i="2"/>
  <c r="Z119" i="2"/>
  <c r="W119" i="2"/>
  <c r="X119" i="2" s="1"/>
  <c r="V119" i="2"/>
  <c r="U119" i="2"/>
  <c r="Z118" i="2"/>
  <c r="V118" i="2"/>
  <c r="U118" i="2"/>
  <c r="W118" i="2" s="1"/>
  <c r="X118" i="2" s="1"/>
  <c r="AA118" i="2" s="1"/>
  <c r="AA117" i="2"/>
  <c r="Z117" i="2"/>
  <c r="W117" i="2"/>
  <c r="X117" i="2" s="1"/>
  <c r="V117" i="2"/>
  <c r="U117" i="2"/>
  <c r="Z116" i="2"/>
  <c r="V116" i="2"/>
  <c r="U116" i="2"/>
  <c r="W116" i="2" s="1"/>
  <c r="X116" i="2" s="1"/>
  <c r="AA116" i="2" s="1"/>
  <c r="Z115" i="2"/>
  <c r="W115" i="2"/>
  <c r="X115" i="2" s="1"/>
  <c r="AA115" i="2" s="1"/>
  <c r="V115" i="2"/>
  <c r="U115" i="2"/>
  <c r="Z114" i="2"/>
  <c r="V114" i="2"/>
  <c r="U114" i="2"/>
  <c r="W114" i="2" s="1"/>
  <c r="X114" i="2" s="1"/>
  <c r="AA114" i="2" s="1"/>
  <c r="Z113" i="2"/>
  <c r="W113" i="2"/>
  <c r="X113" i="2" s="1"/>
  <c r="AA113" i="2" s="1"/>
  <c r="V113" i="2"/>
  <c r="U113" i="2"/>
  <c r="Z112" i="2"/>
  <c r="V112" i="2"/>
  <c r="U112" i="2"/>
  <c r="W112" i="2" s="1"/>
  <c r="X112" i="2" s="1"/>
  <c r="AA112" i="2" s="1"/>
  <c r="Z111" i="2"/>
  <c r="V111" i="2"/>
  <c r="U111" i="2"/>
  <c r="W111" i="2" s="1"/>
  <c r="X111" i="2" s="1"/>
  <c r="AA111" i="2" s="1"/>
  <c r="Z110" i="2"/>
  <c r="V110" i="2"/>
  <c r="U110" i="2"/>
  <c r="W110" i="2" s="1"/>
  <c r="X110" i="2" s="1"/>
  <c r="AA110" i="2" s="1"/>
  <c r="Z109" i="2"/>
  <c r="V109" i="2"/>
  <c r="U109" i="2"/>
  <c r="W109" i="2" s="1"/>
  <c r="X109" i="2" s="1"/>
  <c r="AA109" i="2" s="1"/>
  <c r="Z108" i="2"/>
  <c r="V108" i="2"/>
  <c r="U108" i="2"/>
  <c r="W108" i="2" s="1"/>
  <c r="X108" i="2" s="1"/>
  <c r="AA108" i="2" s="1"/>
  <c r="Z107" i="2"/>
  <c r="V107" i="2"/>
  <c r="U107" i="2"/>
  <c r="W107" i="2" s="1"/>
  <c r="X107" i="2" s="1"/>
  <c r="AA107" i="2" s="1"/>
  <c r="AA106" i="2"/>
  <c r="Z106" i="2"/>
  <c r="X106" i="2"/>
  <c r="W106" i="2"/>
  <c r="V106" i="2"/>
  <c r="U106" i="2"/>
  <c r="Z105" i="2"/>
  <c r="V105" i="2"/>
  <c r="U105" i="2"/>
  <c r="W105" i="2" s="1"/>
  <c r="X105" i="2" s="1"/>
  <c r="AA105" i="2" s="1"/>
  <c r="Z104" i="2"/>
  <c r="W104" i="2"/>
  <c r="X104" i="2" s="1"/>
  <c r="AA104" i="2" s="1"/>
  <c r="V104" i="2"/>
  <c r="U104" i="2"/>
  <c r="Z103" i="2"/>
  <c r="V103" i="2"/>
  <c r="U103" i="2"/>
  <c r="W103" i="2" s="1"/>
  <c r="X103" i="2" s="1"/>
  <c r="AA103" i="2" s="1"/>
  <c r="Z102" i="2"/>
  <c r="V102" i="2"/>
  <c r="W102" i="2" s="1"/>
  <c r="X102" i="2" s="1"/>
  <c r="AA102" i="2" s="1"/>
  <c r="U102" i="2"/>
  <c r="Z101" i="2"/>
  <c r="V101" i="2"/>
  <c r="U101" i="2"/>
  <c r="W101" i="2" s="1"/>
  <c r="X101" i="2" s="1"/>
  <c r="AA101" i="2" s="1"/>
  <c r="Z100" i="2"/>
  <c r="W100" i="2"/>
  <c r="X100" i="2" s="1"/>
  <c r="AA100" i="2" s="1"/>
  <c r="V100" i="2"/>
  <c r="U100" i="2"/>
  <c r="Z99" i="2"/>
  <c r="V99" i="2"/>
  <c r="U99" i="2"/>
  <c r="W99" i="2" s="1"/>
  <c r="X99" i="2" s="1"/>
  <c r="AA99" i="2" s="1"/>
  <c r="Z98" i="2"/>
  <c r="V98" i="2"/>
  <c r="U98" i="2"/>
  <c r="W98" i="2" s="1"/>
  <c r="X98" i="2" s="1"/>
  <c r="AA98" i="2" s="1"/>
  <c r="Z97" i="2"/>
  <c r="V97" i="2"/>
  <c r="U97" i="2"/>
  <c r="W97" i="2" s="1"/>
  <c r="X97" i="2" s="1"/>
  <c r="AA97" i="2" s="1"/>
  <c r="Z96" i="2"/>
  <c r="V96" i="2"/>
  <c r="U96" i="2"/>
  <c r="W96" i="2" s="1"/>
  <c r="X96" i="2" s="1"/>
  <c r="AA96" i="2" s="1"/>
  <c r="Z95" i="2"/>
  <c r="V95" i="2"/>
  <c r="U95" i="2"/>
  <c r="W95" i="2" s="1"/>
  <c r="X95" i="2" s="1"/>
  <c r="AA95" i="2" s="1"/>
  <c r="Z94" i="2"/>
  <c r="V94" i="2"/>
  <c r="U94" i="2"/>
  <c r="W94" i="2" s="1"/>
  <c r="X94" i="2" s="1"/>
  <c r="AA94" i="2" s="1"/>
  <c r="Z93" i="2"/>
  <c r="V93" i="2"/>
  <c r="U93" i="2"/>
  <c r="W93" i="2" s="1"/>
  <c r="X93" i="2" s="1"/>
  <c r="AA93" i="2" s="1"/>
  <c r="Z92" i="2"/>
  <c r="V92" i="2"/>
  <c r="U92" i="2"/>
  <c r="W92" i="2" s="1"/>
  <c r="X92" i="2" s="1"/>
  <c r="AA92" i="2" s="1"/>
  <c r="Z91" i="2"/>
  <c r="V91" i="2"/>
  <c r="U91" i="2"/>
  <c r="W91" i="2" s="1"/>
  <c r="X91" i="2" s="1"/>
  <c r="AA91" i="2" s="1"/>
  <c r="Z90" i="2"/>
  <c r="V90" i="2"/>
  <c r="U90" i="2"/>
  <c r="W90" i="2" s="1"/>
  <c r="X90" i="2" s="1"/>
  <c r="AA90" i="2" s="1"/>
  <c r="Z89" i="2"/>
  <c r="V89" i="2"/>
  <c r="U89" i="2"/>
  <c r="W89" i="2" s="1"/>
  <c r="X89" i="2" s="1"/>
  <c r="AA89" i="2" s="1"/>
  <c r="Z88" i="2"/>
  <c r="V88" i="2"/>
  <c r="U88" i="2"/>
  <c r="W88" i="2" s="1"/>
  <c r="X88" i="2" s="1"/>
  <c r="AA88" i="2" s="1"/>
  <c r="Z87" i="2"/>
  <c r="V87" i="2"/>
  <c r="U87" i="2"/>
  <c r="W87" i="2" s="1"/>
  <c r="X87" i="2" s="1"/>
  <c r="AA87" i="2" s="1"/>
  <c r="Z86" i="2"/>
  <c r="V86" i="2"/>
  <c r="U86" i="2"/>
  <c r="W86" i="2" s="1"/>
  <c r="X86" i="2" s="1"/>
  <c r="AA86" i="2" s="1"/>
  <c r="Z85" i="2"/>
  <c r="V85" i="2"/>
  <c r="U85" i="2"/>
  <c r="W85" i="2" s="1"/>
  <c r="X85" i="2" s="1"/>
  <c r="AA85" i="2" s="1"/>
  <c r="Z84" i="2"/>
  <c r="V84" i="2"/>
  <c r="U84" i="2"/>
  <c r="W84" i="2" s="1"/>
  <c r="X84" i="2" s="1"/>
  <c r="AA84" i="2" s="1"/>
  <c r="Z83" i="2"/>
  <c r="V83" i="2"/>
  <c r="U83" i="2"/>
  <c r="W83" i="2" s="1"/>
  <c r="X83" i="2" s="1"/>
  <c r="AA83" i="2" s="1"/>
  <c r="Z82" i="2"/>
  <c r="V82" i="2"/>
  <c r="U82" i="2"/>
  <c r="W82" i="2" s="1"/>
  <c r="X82" i="2" s="1"/>
  <c r="AA82" i="2" s="1"/>
  <c r="Z81" i="2"/>
  <c r="V81" i="2"/>
  <c r="U81" i="2"/>
  <c r="W81" i="2" s="1"/>
  <c r="X81" i="2" s="1"/>
  <c r="AA81" i="2" s="1"/>
  <c r="Z80" i="2"/>
  <c r="V80" i="2"/>
  <c r="U80" i="2"/>
  <c r="W80" i="2" s="1"/>
  <c r="X80" i="2" s="1"/>
  <c r="AA80" i="2" s="1"/>
  <c r="Z79" i="2"/>
  <c r="V79" i="2"/>
  <c r="U79" i="2"/>
  <c r="W79" i="2" s="1"/>
  <c r="X79" i="2" s="1"/>
  <c r="AA79" i="2" s="1"/>
  <c r="Z78" i="2"/>
  <c r="V78" i="2"/>
  <c r="U78" i="2"/>
  <c r="W78" i="2" s="1"/>
  <c r="X78" i="2" s="1"/>
  <c r="AA78" i="2" s="1"/>
  <c r="Z77" i="2"/>
  <c r="V77" i="2"/>
  <c r="U77" i="2"/>
  <c r="W77" i="2" s="1"/>
  <c r="X77" i="2" s="1"/>
  <c r="AA77" i="2" s="1"/>
  <c r="Z76" i="2"/>
  <c r="V76" i="2"/>
  <c r="U76" i="2"/>
  <c r="W76" i="2" s="1"/>
  <c r="X76" i="2" s="1"/>
  <c r="AA76" i="2" s="1"/>
  <c r="Z75" i="2"/>
  <c r="V75" i="2"/>
  <c r="U75" i="2"/>
  <c r="W75" i="2" s="1"/>
  <c r="X75" i="2" s="1"/>
  <c r="AA75" i="2" s="1"/>
  <c r="Z74" i="2"/>
  <c r="V74" i="2"/>
  <c r="U74" i="2"/>
  <c r="W74" i="2" s="1"/>
  <c r="X74" i="2" s="1"/>
  <c r="AA74" i="2" s="1"/>
  <c r="Z73" i="2"/>
  <c r="V73" i="2"/>
  <c r="U73" i="2"/>
  <c r="W73" i="2" s="1"/>
  <c r="X73" i="2" s="1"/>
  <c r="AA73" i="2" s="1"/>
  <c r="Z72" i="2"/>
  <c r="V72" i="2"/>
  <c r="U72" i="2"/>
  <c r="W72" i="2" s="1"/>
  <c r="X72" i="2" s="1"/>
  <c r="AA72" i="2" s="1"/>
  <c r="Z71" i="2"/>
  <c r="V71" i="2"/>
  <c r="U71" i="2"/>
  <c r="W71" i="2" s="1"/>
  <c r="X71" i="2" s="1"/>
  <c r="AA71" i="2" s="1"/>
  <c r="Z70" i="2"/>
  <c r="V70" i="2"/>
  <c r="U70" i="2"/>
  <c r="W70" i="2" s="1"/>
  <c r="X70" i="2" s="1"/>
  <c r="AA70" i="2" s="1"/>
  <c r="Z69" i="2"/>
  <c r="V69" i="2"/>
  <c r="U69" i="2"/>
  <c r="W69" i="2" s="1"/>
  <c r="X69" i="2" s="1"/>
  <c r="AA69" i="2" s="1"/>
  <c r="Z68" i="2"/>
  <c r="V68" i="2"/>
  <c r="U68" i="2"/>
  <c r="W68" i="2" s="1"/>
  <c r="X68" i="2" s="1"/>
  <c r="AA68" i="2" s="1"/>
  <c r="Z67" i="2"/>
  <c r="V67" i="2"/>
  <c r="U67" i="2"/>
  <c r="W67" i="2" s="1"/>
  <c r="X67" i="2" s="1"/>
  <c r="AA67" i="2" s="1"/>
  <c r="Z66" i="2"/>
  <c r="V66" i="2"/>
  <c r="U66" i="2"/>
  <c r="W66" i="2" s="1"/>
  <c r="X66" i="2" s="1"/>
  <c r="AA66" i="2" s="1"/>
  <c r="Z65" i="2"/>
  <c r="V65" i="2"/>
  <c r="U65" i="2"/>
  <c r="W65" i="2" s="1"/>
  <c r="X65" i="2" s="1"/>
  <c r="AA65" i="2" s="1"/>
  <c r="Z64" i="2"/>
  <c r="V64" i="2"/>
  <c r="U64" i="2"/>
  <c r="W64" i="2" s="1"/>
  <c r="X64" i="2" s="1"/>
  <c r="AA64" i="2" s="1"/>
  <c r="Z63" i="2"/>
  <c r="V63" i="2"/>
  <c r="U63" i="2"/>
  <c r="W63" i="2" s="1"/>
  <c r="X63" i="2" s="1"/>
  <c r="AA63" i="2" s="1"/>
  <c r="Z62" i="2"/>
  <c r="V62" i="2"/>
  <c r="U62" i="2"/>
  <c r="W62" i="2" s="1"/>
  <c r="X62" i="2" s="1"/>
  <c r="AA62" i="2" s="1"/>
  <c r="Z61" i="2"/>
  <c r="V61" i="2"/>
  <c r="U61" i="2"/>
  <c r="W61" i="2" s="1"/>
  <c r="X61" i="2" s="1"/>
  <c r="AA61" i="2" s="1"/>
  <c r="Z60" i="2"/>
  <c r="V60" i="2"/>
  <c r="U60" i="2"/>
  <c r="W60" i="2" s="1"/>
  <c r="X60" i="2" s="1"/>
  <c r="AA60" i="2" s="1"/>
  <c r="Z59" i="2"/>
  <c r="V59" i="2"/>
  <c r="U59" i="2"/>
  <c r="W59" i="2" s="1"/>
  <c r="X59" i="2" s="1"/>
  <c r="AA59" i="2" s="1"/>
  <c r="Z58" i="2"/>
  <c r="V58" i="2"/>
  <c r="U58" i="2"/>
  <c r="W58" i="2" s="1"/>
  <c r="X58" i="2" s="1"/>
  <c r="AA58" i="2" s="1"/>
  <c r="Z57" i="2"/>
  <c r="V57" i="2"/>
  <c r="U57" i="2"/>
  <c r="W57" i="2" s="1"/>
  <c r="X57" i="2" s="1"/>
  <c r="AA57" i="2" s="1"/>
  <c r="Z56" i="2"/>
  <c r="V56" i="2"/>
  <c r="U56" i="2"/>
  <c r="W56" i="2" s="1"/>
  <c r="X56" i="2" s="1"/>
  <c r="AA56" i="2" s="1"/>
  <c r="Z55" i="2"/>
  <c r="V55" i="2"/>
  <c r="U55" i="2"/>
  <c r="W55" i="2" s="1"/>
  <c r="X55" i="2" s="1"/>
  <c r="AA55" i="2" s="1"/>
  <c r="Z54" i="2"/>
  <c r="V54" i="2"/>
  <c r="U54" i="2"/>
  <c r="W54" i="2" s="1"/>
  <c r="X54" i="2" s="1"/>
  <c r="AA54" i="2" s="1"/>
  <c r="Z53" i="2"/>
  <c r="V53" i="2"/>
  <c r="U53" i="2"/>
  <c r="W53" i="2" s="1"/>
  <c r="X53" i="2" s="1"/>
  <c r="AA53" i="2" s="1"/>
  <c r="Z52" i="2"/>
  <c r="V52" i="2"/>
  <c r="U52" i="2"/>
  <c r="W52" i="2" s="1"/>
  <c r="X52" i="2" s="1"/>
  <c r="AA52" i="2" s="1"/>
  <c r="Z51" i="2"/>
  <c r="V51" i="2"/>
  <c r="U51" i="2"/>
  <c r="W51" i="2" s="1"/>
  <c r="X51" i="2" s="1"/>
  <c r="AA51" i="2" s="1"/>
  <c r="Z50" i="2"/>
  <c r="V50" i="2"/>
  <c r="U50" i="2"/>
  <c r="W50" i="2" s="1"/>
  <c r="X50" i="2" s="1"/>
  <c r="AA50" i="2" s="1"/>
  <c r="Z49" i="2"/>
  <c r="V49" i="2"/>
  <c r="U49" i="2"/>
  <c r="W49" i="2" s="1"/>
  <c r="X49" i="2" s="1"/>
  <c r="AA49" i="2" s="1"/>
  <c r="Z48" i="2"/>
  <c r="V48" i="2"/>
  <c r="U48" i="2"/>
  <c r="W48" i="2" s="1"/>
  <c r="X48" i="2" s="1"/>
  <c r="AA48" i="2" s="1"/>
  <c r="Z47" i="2"/>
  <c r="V47" i="2"/>
  <c r="U47" i="2"/>
  <c r="W47" i="2" s="1"/>
  <c r="X47" i="2" s="1"/>
  <c r="AA47" i="2" s="1"/>
  <c r="Z46" i="2"/>
  <c r="V46" i="2"/>
  <c r="U46" i="2"/>
  <c r="W46" i="2" s="1"/>
  <c r="X46" i="2" s="1"/>
  <c r="AA46" i="2" s="1"/>
  <c r="Z45" i="2"/>
  <c r="V45" i="2"/>
  <c r="U45" i="2"/>
  <c r="W45" i="2" s="1"/>
  <c r="X45" i="2" s="1"/>
  <c r="AA45" i="2" s="1"/>
  <c r="Z44" i="2"/>
  <c r="V44" i="2"/>
  <c r="U44" i="2"/>
  <c r="W44" i="2" s="1"/>
  <c r="X44" i="2" s="1"/>
  <c r="AA44" i="2" s="1"/>
  <c r="Z43" i="2"/>
  <c r="V43" i="2"/>
  <c r="U43" i="2"/>
  <c r="W43" i="2" s="1"/>
  <c r="X43" i="2" s="1"/>
  <c r="AA43" i="2" s="1"/>
  <c r="Z42" i="2"/>
  <c r="V42" i="2"/>
  <c r="U42" i="2"/>
  <c r="W42" i="2" s="1"/>
  <c r="X42" i="2" s="1"/>
  <c r="AA42" i="2" s="1"/>
  <c r="Z41" i="2"/>
  <c r="V41" i="2"/>
  <c r="U41" i="2"/>
  <c r="W41" i="2" s="1"/>
  <c r="X41" i="2" s="1"/>
  <c r="AA41" i="2" s="1"/>
  <c r="Z40" i="2"/>
  <c r="V40" i="2"/>
  <c r="U40" i="2"/>
  <c r="W40" i="2" s="1"/>
  <c r="X40" i="2" s="1"/>
  <c r="AA40" i="2" s="1"/>
  <c r="Z39" i="2"/>
  <c r="V39" i="2"/>
  <c r="U39" i="2"/>
  <c r="W39" i="2" s="1"/>
  <c r="X39" i="2" s="1"/>
  <c r="AA39" i="2" s="1"/>
  <c r="Z38" i="2"/>
  <c r="V38" i="2"/>
  <c r="U38" i="2"/>
  <c r="W38" i="2" s="1"/>
  <c r="X38" i="2" s="1"/>
  <c r="AA38" i="2" s="1"/>
  <c r="Z37" i="2"/>
  <c r="V37" i="2"/>
  <c r="U37" i="2"/>
  <c r="W37" i="2" s="1"/>
  <c r="X37" i="2" s="1"/>
  <c r="AA37" i="2" s="1"/>
  <c r="Z36" i="2"/>
  <c r="V36" i="2"/>
  <c r="U36" i="2"/>
  <c r="W36" i="2" s="1"/>
  <c r="X36" i="2" s="1"/>
  <c r="AA36" i="2" s="1"/>
  <c r="Z35" i="2"/>
  <c r="V35" i="2"/>
  <c r="U35" i="2"/>
  <c r="W35" i="2" s="1"/>
  <c r="X35" i="2" s="1"/>
  <c r="AA35" i="2" s="1"/>
  <c r="Z34" i="2"/>
  <c r="V34" i="2"/>
  <c r="U34" i="2"/>
  <c r="W34" i="2" s="1"/>
  <c r="X34" i="2" s="1"/>
  <c r="AA34" i="2" s="1"/>
  <c r="Z33" i="2"/>
  <c r="V33" i="2"/>
  <c r="U33" i="2"/>
  <c r="W33" i="2" s="1"/>
  <c r="X33" i="2" s="1"/>
  <c r="AA33" i="2" s="1"/>
  <c r="Z32" i="2"/>
  <c r="V32" i="2"/>
  <c r="U32" i="2"/>
  <c r="W32" i="2" s="1"/>
  <c r="X32" i="2" s="1"/>
  <c r="AA32" i="2" s="1"/>
  <c r="Z31" i="2"/>
  <c r="V31" i="2"/>
  <c r="U31" i="2"/>
  <c r="W31" i="2" s="1"/>
  <c r="X31" i="2" s="1"/>
  <c r="AA31" i="2" s="1"/>
  <c r="Z30" i="2"/>
  <c r="V30" i="2"/>
  <c r="U30" i="2"/>
  <c r="W30" i="2" s="1"/>
  <c r="X30" i="2" s="1"/>
  <c r="AA30" i="2" s="1"/>
  <c r="Z29" i="2"/>
  <c r="V29" i="2"/>
  <c r="U29" i="2"/>
  <c r="W29" i="2" s="1"/>
  <c r="X29" i="2" s="1"/>
  <c r="AA29" i="2" s="1"/>
  <c r="Z28" i="2"/>
  <c r="V28" i="2"/>
  <c r="U28" i="2"/>
  <c r="W28" i="2" s="1"/>
  <c r="X28" i="2" s="1"/>
  <c r="AA28" i="2" s="1"/>
  <c r="Z27" i="2"/>
  <c r="V27" i="2"/>
  <c r="U27" i="2"/>
  <c r="W27" i="2" s="1"/>
  <c r="X27" i="2" s="1"/>
  <c r="AA27" i="2" s="1"/>
  <c r="Z26" i="2"/>
  <c r="V26" i="2"/>
  <c r="U26" i="2"/>
  <c r="W26" i="2" s="1"/>
  <c r="X26" i="2" s="1"/>
  <c r="AA26" i="2" s="1"/>
  <c r="Z25" i="2"/>
  <c r="V25" i="2"/>
  <c r="U25" i="2"/>
  <c r="W25" i="2" s="1"/>
  <c r="X25" i="2" s="1"/>
  <c r="AA25" i="2" s="1"/>
  <c r="Z24" i="2"/>
  <c r="V24" i="2"/>
  <c r="U24" i="2"/>
  <c r="W24" i="2" s="1"/>
  <c r="X24" i="2" s="1"/>
  <c r="AA24" i="2" s="1"/>
  <c r="Z23" i="2"/>
  <c r="V23" i="2"/>
  <c r="U23" i="2"/>
  <c r="W23" i="2" s="1"/>
  <c r="X23" i="2" s="1"/>
  <c r="AA23" i="2" s="1"/>
  <c r="Z22" i="2"/>
  <c r="V22" i="2"/>
  <c r="U22" i="2"/>
  <c r="W22" i="2" s="1"/>
  <c r="X22" i="2" s="1"/>
  <c r="AA22" i="2" s="1"/>
  <c r="Z21" i="2"/>
  <c r="V21" i="2"/>
  <c r="U21" i="2"/>
  <c r="W21" i="2" s="1"/>
  <c r="X21" i="2" s="1"/>
  <c r="AA21" i="2" s="1"/>
  <c r="Z20" i="2"/>
  <c r="V20" i="2"/>
  <c r="U20" i="2"/>
  <c r="W20" i="2" s="1"/>
  <c r="X20" i="2" s="1"/>
  <c r="AA20" i="2" s="1"/>
  <c r="Z19" i="2"/>
  <c r="V19" i="2"/>
  <c r="U19" i="2"/>
  <c r="W19" i="2" s="1"/>
  <c r="X19" i="2" s="1"/>
  <c r="AA19" i="2" s="1"/>
  <c r="Z18" i="2"/>
  <c r="V18" i="2"/>
  <c r="U18" i="2"/>
  <c r="W18" i="2" s="1"/>
  <c r="X18" i="2" s="1"/>
  <c r="AA18" i="2" s="1"/>
  <c r="Z17" i="2"/>
  <c r="V17" i="2"/>
  <c r="U17" i="2"/>
  <c r="W17" i="2" s="1"/>
  <c r="X17" i="2" s="1"/>
  <c r="AA17" i="2" s="1"/>
  <c r="Z16" i="2"/>
  <c r="V16" i="2"/>
  <c r="U16" i="2"/>
  <c r="W16" i="2" s="1"/>
  <c r="X16" i="2" s="1"/>
  <c r="AA16" i="2" s="1"/>
  <c r="Z15" i="2"/>
  <c r="V15" i="2"/>
  <c r="U15" i="2"/>
  <c r="W15" i="2" s="1"/>
  <c r="X15" i="2" s="1"/>
  <c r="AA15" i="2" s="1"/>
  <c r="Z14" i="2"/>
  <c r="V14" i="2"/>
  <c r="U14" i="2"/>
  <c r="W14" i="2" s="1"/>
  <c r="X14" i="2" s="1"/>
  <c r="AA14" i="2" s="1"/>
  <c r="Z13" i="2"/>
  <c r="V13" i="2"/>
  <c r="U13" i="2"/>
  <c r="W13" i="2" s="1"/>
  <c r="X13" i="2" s="1"/>
  <c r="AA13" i="2" s="1"/>
  <c r="Z12" i="2"/>
  <c r="V12" i="2"/>
  <c r="U12" i="2"/>
  <c r="W12" i="2" s="1"/>
  <c r="X12" i="2" s="1"/>
  <c r="AA12" i="2" s="1"/>
  <c r="Z11" i="2"/>
  <c r="V11" i="2"/>
  <c r="U11" i="2"/>
  <c r="W11" i="2" s="1"/>
  <c r="X11" i="2" s="1"/>
  <c r="AA11" i="2" s="1"/>
  <c r="Z10" i="2"/>
  <c r="V10" i="2"/>
  <c r="U10" i="2"/>
  <c r="W10" i="2" s="1"/>
  <c r="X10" i="2" s="1"/>
  <c r="AA10" i="2" s="1"/>
  <c r="Z9" i="2"/>
  <c r="V9" i="2"/>
  <c r="U9" i="2"/>
  <c r="W9" i="2" s="1"/>
  <c r="X9" i="2" s="1"/>
  <c r="AA9" i="2" s="1"/>
  <c r="Z8" i="2"/>
  <c r="V8" i="2"/>
  <c r="U8" i="2"/>
  <c r="W8" i="2" s="1"/>
  <c r="X8" i="2" s="1"/>
  <c r="AA8" i="2" s="1"/>
  <c r="Z7" i="2"/>
  <c r="V7" i="2"/>
  <c r="U7" i="2"/>
  <c r="W7" i="2" s="1"/>
  <c r="X7" i="2" s="1"/>
  <c r="AA7" i="2" s="1"/>
  <c r="Z6" i="2"/>
  <c r="V6" i="2"/>
  <c r="U6" i="2"/>
  <c r="W6" i="2" s="1"/>
  <c r="X6" i="2" s="1"/>
  <c r="AA6" i="2" s="1"/>
  <c r="Z5" i="2"/>
  <c r="V5" i="2"/>
  <c r="U5" i="2"/>
  <c r="W5" i="2" s="1"/>
  <c r="X5" i="2" s="1"/>
  <c r="AA5" i="2" s="1"/>
  <c r="Z4" i="2"/>
  <c r="V4" i="2"/>
  <c r="U4" i="2"/>
  <c r="W4" i="2" s="1"/>
  <c r="X4" i="2" s="1"/>
  <c r="AA4" i="2" s="1"/>
  <c r="Z3" i="2"/>
  <c r="V3" i="2"/>
  <c r="U3" i="2"/>
  <c r="W3" i="2" s="1"/>
  <c r="X3" i="2" s="1"/>
  <c r="AA3" i="2" s="1"/>
  <c r="Z2" i="2"/>
  <c r="V2" i="2"/>
  <c r="U2" i="2"/>
  <c r="W2" i="2" s="1"/>
  <c r="X2" i="2" s="1"/>
  <c r="AA2" i="2" s="1"/>
  <c r="W324" i="2" l="1"/>
  <c r="X324" i="2" s="1"/>
  <c r="AA324" i="2" s="1"/>
  <c r="W402" i="2"/>
  <c r="X402" i="2" s="1"/>
  <c r="AA402" i="2" s="1"/>
  <c r="W396" i="2"/>
  <c r="X396" i="2" s="1"/>
  <c r="AA396" i="2" s="1"/>
  <c r="W360" i="2"/>
  <c r="X360" i="2" s="1"/>
  <c r="AA360" i="2" s="1"/>
  <c r="W438" i="2"/>
  <c r="X438" i="2" s="1"/>
  <c r="AA438" i="2" s="1"/>
  <c r="W441" i="2"/>
  <c r="X441" i="2" s="1"/>
  <c r="AA441" i="2" s="1"/>
  <c r="W465" i="2"/>
  <c r="X465" i="2" s="1"/>
  <c r="AA465" i="2" s="1"/>
  <c r="W354" i="2"/>
  <c r="X354" i="2" s="1"/>
  <c r="AA354" i="2" s="1"/>
  <c r="W390" i="2"/>
  <c r="X390" i="2" s="1"/>
  <c r="AA390" i="2" s="1"/>
  <c r="W426" i="2"/>
  <c r="X426" i="2" s="1"/>
  <c r="AA426" i="2" s="1"/>
  <c r="W342" i="2"/>
  <c r="X342" i="2" s="1"/>
  <c r="AA342" i="2" s="1"/>
  <c r="W378" i="2"/>
  <c r="X378" i="2" s="1"/>
  <c r="AA378" i="2" s="1"/>
  <c r="W414" i="2"/>
  <c r="X414" i="2" s="1"/>
  <c r="AA414" i="2" s="1"/>
  <c r="W322" i="2"/>
  <c r="X322" i="2" s="1"/>
  <c r="AA322" i="2" s="1"/>
  <c r="W328" i="2"/>
  <c r="X328" i="2" s="1"/>
  <c r="AA328" i="2" s="1"/>
  <c r="W334" i="2"/>
  <c r="X334" i="2" s="1"/>
  <c r="AA334" i="2" s="1"/>
  <c r="W340" i="2"/>
  <c r="X340" i="2" s="1"/>
  <c r="AA340" i="2" s="1"/>
  <c r="W346" i="2"/>
  <c r="X346" i="2" s="1"/>
  <c r="AA346" i="2" s="1"/>
  <c r="W352" i="2"/>
  <c r="X352" i="2" s="1"/>
  <c r="AA352" i="2" s="1"/>
  <c r="W358" i="2"/>
  <c r="X358" i="2" s="1"/>
  <c r="AA358" i="2" s="1"/>
  <c r="W364" i="2"/>
  <c r="X364" i="2" s="1"/>
  <c r="AA364" i="2" s="1"/>
  <c r="W370" i="2"/>
  <c r="X370" i="2" s="1"/>
  <c r="AA370" i="2" s="1"/>
  <c r="W376" i="2"/>
  <c r="X376" i="2" s="1"/>
  <c r="AA376" i="2" s="1"/>
  <c r="W382" i="2"/>
  <c r="X382" i="2" s="1"/>
  <c r="AA382" i="2" s="1"/>
  <c r="W388" i="2"/>
  <c r="X388" i="2" s="1"/>
  <c r="AA388" i="2" s="1"/>
  <c r="W394" i="2"/>
  <c r="X394" i="2" s="1"/>
  <c r="AA394" i="2" s="1"/>
  <c r="W400" i="2"/>
  <c r="X400" i="2" s="1"/>
  <c r="AA400" i="2" s="1"/>
  <c r="W406" i="2"/>
  <c r="X406" i="2" s="1"/>
  <c r="AA406" i="2" s="1"/>
  <c r="W412" i="2"/>
  <c r="X412" i="2" s="1"/>
  <c r="AA412" i="2" s="1"/>
  <c r="W418" i="2"/>
  <c r="X418" i="2" s="1"/>
  <c r="AA418" i="2" s="1"/>
  <c r="W424" i="2"/>
  <c r="X424" i="2" s="1"/>
  <c r="AA424" i="2" s="1"/>
  <c r="W430" i="2"/>
  <c r="X430" i="2" s="1"/>
  <c r="AA430" i="2" s="1"/>
  <c r="W436" i="2"/>
  <c r="X436" i="2" s="1"/>
  <c r="AA436" i="2" s="1"/>
  <c r="W442" i="2"/>
  <c r="X442" i="2" s="1"/>
  <c r="AA442" i="2" s="1"/>
  <c r="W448" i="2"/>
  <c r="X448" i="2" s="1"/>
  <c r="AA448" i="2" s="1"/>
  <c r="W454" i="2"/>
  <c r="X454" i="2" s="1"/>
  <c r="AA454" i="2" s="1"/>
  <c r="W460" i="2"/>
  <c r="X460" i="2" s="1"/>
  <c r="AA460" i="2" s="1"/>
  <c r="W466" i="2"/>
  <c r="X466" i="2" s="1"/>
  <c r="AA466" i="2" s="1"/>
  <c r="W472" i="2"/>
  <c r="X472" i="2" s="1"/>
  <c r="AA472" i="2" s="1"/>
  <c r="W478" i="2"/>
  <c r="X478" i="2" s="1"/>
  <c r="AA478" i="2" s="1"/>
  <c r="W484" i="2"/>
  <c r="X484" i="2" s="1"/>
  <c r="AA484" i="2" s="1"/>
  <c r="W320" i="2"/>
  <c r="X320" i="2" s="1"/>
  <c r="AA320" i="2" s="1"/>
  <c r="W326" i="2"/>
  <c r="X326" i="2" s="1"/>
  <c r="AA326" i="2" s="1"/>
  <c r="W332" i="2"/>
  <c r="X332" i="2" s="1"/>
  <c r="AA332" i="2" s="1"/>
  <c r="W338" i="2"/>
  <c r="X338" i="2" s="1"/>
  <c r="AA338" i="2" s="1"/>
  <c r="W344" i="2"/>
  <c r="X344" i="2" s="1"/>
  <c r="AA344" i="2" s="1"/>
  <c r="W350" i="2"/>
  <c r="X350" i="2" s="1"/>
  <c r="AA350" i="2" s="1"/>
  <c r="W356" i="2"/>
  <c r="X356" i="2" s="1"/>
  <c r="AA356" i="2" s="1"/>
  <c r="W362" i="2"/>
  <c r="X362" i="2" s="1"/>
  <c r="AA362" i="2" s="1"/>
  <c r="W368" i="2"/>
  <c r="X368" i="2" s="1"/>
  <c r="AA368" i="2" s="1"/>
  <c r="W374" i="2"/>
  <c r="X374" i="2" s="1"/>
  <c r="AA374" i="2" s="1"/>
  <c r="W380" i="2"/>
  <c r="X380" i="2" s="1"/>
  <c r="AA380" i="2" s="1"/>
  <c r="W386" i="2"/>
  <c r="X386" i="2" s="1"/>
  <c r="AA386" i="2" s="1"/>
  <c r="W392" i="2"/>
  <c r="X392" i="2" s="1"/>
  <c r="AA392" i="2" s="1"/>
  <c r="W398" i="2"/>
  <c r="X398" i="2" s="1"/>
  <c r="AA398" i="2" s="1"/>
  <c r="W404" i="2"/>
  <c r="X404" i="2" s="1"/>
  <c r="AA404" i="2" s="1"/>
  <c r="W410" i="2"/>
  <c r="X410" i="2" s="1"/>
  <c r="AA410" i="2" s="1"/>
  <c r="W416" i="2"/>
  <c r="X416" i="2" s="1"/>
  <c r="AA416" i="2" s="1"/>
  <c r="W422" i="2"/>
  <c r="X422" i="2" s="1"/>
  <c r="AA422" i="2" s="1"/>
  <c r="W428" i="2"/>
  <c r="X428" i="2" s="1"/>
  <c r="AA428" i="2" s="1"/>
  <c r="W434" i="2"/>
  <c r="X434" i="2" s="1"/>
  <c r="AA434" i="2" s="1"/>
  <c r="W440" i="2"/>
  <c r="X440" i="2" s="1"/>
  <c r="AA440" i="2" s="1"/>
  <c r="W446" i="2"/>
  <c r="X446" i="2" s="1"/>
  <c r="AA446" i="2" s="1"/>
  <c r="W452" i="2"/>
  <c r="X452" i="2" s="1"/>
  <c r="AA452" i="2" s="1"/>
  <c r="W458" i="2"/>
  <c r="X458" i="2" s="1"/>
  <c r="AA458" i="2" s="1"/>
  <c r="W464" i="2"/>
  <c r="X464" i="2" s="1"/>
  <c r="AA464" i="2" s="1"/>
  <c r="W470" i="2"/>
  <c r="X470" i="2" s="1"/>
  <c r="AA470" i="2" s="1"/>
  <c r="W476" i="2"/>
  <c r="X476" i="2" s="1"/>
  <c r="AA476" i="2" s="1"/>
  <c r="W482" i="2"/>
  <c r="X482" i="2" s="1"/>
  <c r="AA482"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tc={38E6309D-CB44-8944-A17D-DD809E9F77A0}</author>
  </authors>
  <commentList>
    <comment ref="A19" authorId="0" shapeId="0" xr:uid="{38E6309D-CB44-8944-A17D-DD809E9F77A0}">
      <text>
        <t>[Threaded comment]
Your version of Excel allows you to read this threaded comment; however, any edits to it will get removed if the file is opened in a newer version of Excel. Learn more: https://go.microsoft.com/fwlink/?linkid=870924
Comment:
    this is for the constraints since all three conditions passed the preliminary test.</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tc={ADAB438A-7B30-284A-BA5E-A30E76E7EE7C}</author>
  </authors>
  <commentList>
    <comment ref="C1" authorId="0" shapeId="0" xr:uid="{ADAB438A-7B30-284A-BA5E-A30E76E7EE7C}">
      <text>
        <t>[Threaded comment]
Your version of Excel allows you to read this threaded comment; however, any edits to it will get removed if the file is opened in a newer version of Excel. Learn more: https://go.microsoft.com/fwlink/?linkid=870924
Comment:
    full_game -&gt; 01
illegal_off_context -&gt; 02
illegal_bypass_unlocked -&gt; 03
travel_visited_city -&gt; 04
visit_location_after_unlocking -&gt; 05
illegal_invalid_command -&gt; 06
same_location -&gt; 07
mispelled_city -&gt; 08
mispelled_location -&gt; 09
beyond_case_days -&gt; 10
competing_constraints -&gt; 11</t>
      </text>
    </comment>
  </commentList>
</comments>
</file>

<file path=xl/sharedStrings.xml><?xml version="1.0" encoding="utf-8"?>
<sst xmlns="http://schemas.openxmlformats.org/spreadsheetml/2006/main" count="3341" uniqueCount="892">
  <si>
    <t>Criterion</t>
  </si>
  <si>
    <t>What it tests</t>
  </si>
  <si>
    <t>When to use it</t>
  </si>
  <si>
    <t>Score 0</t>
  </si>
  <si>
    <t>Score 1</t>
  </si>
  <si>
    <t>Score 2</t>
  </si>
  <si>
    <t>What to look for in the output</t>
  </si>
  <si>
    <t>C1. Task Relevance and Quality</t>
  </si>
  <si>
    <t>Whether the response is relevant, coherent, and appropriate to the current valid input</t>
  </si>
  <si>
    <t>Canonical execution with valid commands</t>
  </si>
  <si>
    <t>Output is off-topic, incorrect, or low-quality</t>
  </si>
  <si>
    <t>Mostly relevant, but vague, repetitive, or partially misaligned</t>
  </si>
  <si>
    <t>Relevant, coherent, and clearly appropriate to the input and game context</t>
  </si>
  <si>
    <t>Check whether the response actually advances the intended scene, uses the right context, and feels like a sensible next output</t>
  </si>
  <si>
    <t>C2. Terminological Consistency</t>
  </si>
  <si>
    <t>Whether the same entities, places, clues, and game concepts are referred to consistently</t>
  </si>
  <si>
    <t>Canonical and robustness probes</t>
  </si>
  <si>
    <t>Terms drift, are renamed, or become contradictory</t>
  </si>
  <si>
    <t>Mostly consistent, but minor naming drift or semantic wobble appears</t>
  </si>
  <si>
    <t>Terms remain stable and refer to the same things throughout</t>
  </si>
  <si>
    <t>Look for changes in labels, clue names, city names, location names, or role descriptions</t>
  </si>
  <si>
    <t>C3. Structural Coherence</t>
  </si>
  <si>
    <t>Whether the response follows a stable and understandable internal structure</t>
  </si>
  <si>
    <t>Canonical execution</t>
  </si>
  <si>
    <t>Disorganized, confusing, or mixes incompatible actions/states</t>
  </si>
  <si>
    <t>Mostly structured, but with some awkward transitions or minor leakage</t>
  </si>
  <si>
    <t>Clean, organized, easy to follow, and internally well-formed</t>
  </si>
  <si>
    <t>Look for a stable narration pattern, clear sequencing, and absence of messy jumps</t>
  </si>
  <si>
    <t>C4. Constraint Enforcement</t>
  </si>
  <si>
    <t>Whether the model blocks illegal actions and respects game rules</t>
  </si>
  <si>
    <t>Invalid command / bypass probes</t>
  </si>
  <si>
    <t>Accepts an illegal transition or breaks the rule</t>
  </si>
  <si>
    <t>Rejects or hesitates, but response is incomplete or inconsistently enforced</t>
  </si>
  <si>
    <t>Clearly blocks the action and preserves the rule boundary</t>
  </si>
  <si>
    <t>Check whether the model allows forbidden travel, extra days, locked cities, or out-of-bound actions</t>
  </si>
  <si>
    <t>C5. State Awareness</t>
  </si>
  <si>
    <t>Whether the model correctly tracks the current game state</t>
  </si>
  <si>
    <t>Redundancy and progression probes</t>
  </si>
  <si>
    <t>Ignores current state or contradicts it</t>
  </si>
  <si>
    <t>Shows partial state awareness, but misses some implications</t>
  </si>
  <si>
    <t>Correctly uses current state to warn, redirect, or constrain</t>
  </si>
  <si>
    <t>Look for whether it notices “already in this city,” “already visited,” “location already completed,” or similar state facts</t>
  </si>
  <si>
    <t>C6. Warning / Redirection Quality</t>
  </si>
  <si>
    <t>Whether the model not only blocks an action, but also redirects the player appropriately</t>
  </si>
  <si>
    <t>Invalid, redundant, or ambiguous inputs</t>
  </si>
  <si>
    <t>No warning and no useful redirection</t>
  </si>
  <si>
    <t>Some warning or redirection, but vague or incomplete</t>
  </si>
  <si>
    <t>Clear warning plus a useful next step or valid alternative</t>
  </si>
  <si>
    <t>Check whether the model helps the player recover rather than just refusing</t>
  </si>
  <si>
    <t>C7. Robustness to Misspelling / Noisy Input</t>
  </si>
  <si>
    <t>Whether the model recovers intended meaning from small spelling mistakes or degraded input</t>
  </si>
  <si>
    <t>Misspelling probes</t>
  </si>
  <si>
    <t>Fails to recover and drifts or hallucinates</t>
  </si>
  <si>
    <t>Partially recovers, but uncertain or inconsistent</t>
  </si>
  <si>
    <t>Correctly infers intended command or asks precise clarification</t>
  </si>
  <si>
    <t>Look for whether misspelled city/location names are properly mapped back to valid options</t>
  </si>
  <si>
    <t>C8. Hallucinated Action Suppression</t>
  </si>
  <si>
    <t>Whether the model avoids inventing unsupported actions, locations, or paths</t>
  </si>
  <si>
    <t>Invalid/noisy input probes</t>
  </si>
  <si>
    <t>Invents a new path, action, or unsupported game behavior</t>
  </si>
  <si>
    <t>Slight drift, but mostly stays near the game boundary</t>
  </si>
  <si>
    <t>Fully stays within the defined action/state space</t>
  </si>
  <si>
    <t>Check whether the model creates new cities, new travel rules, or lets the player do something not in the game logic</t>
  </si>
  <si>
    <t>C9. Out-of-Boundary Recovery</t>
  </si>
  <si>
    <t>Whether the model returns the interaction to the valid game frame after invalid input</t>
  </si>
  <si>
    <t>Invalid command / out-of-boundary probes</t>
  </si>
  <si>
    <t>Continues outside the game boundary</t>
  </si>
  <si>
    <t>Attempts recovery, but response is weak or unclear</t>
  </si>
  <si>
    <t>Cleanly returns the player to the allowed game context</t>
  </si>
  <si>
    <t>Look for whether the model re-centers the player on valid options after the bad input</t>
  </si>
  <si>
    <t>C10. Competing Constraint Resolution</t>
  </si>
  <si>
    <t>Whether the model handles multiple simultaneous problems in a stable priority order</t>
  </si>
  <si>
    <t>Multi-constraint probes</t>
  </si>
  <si>
    <t>Inconsistent, random, or incomplete handling</t>
  </si>
  <si>
    <t>Handles some constraints, but priority is unclear or unstable</t>
  </si>
  <si>
    <t>Resolves multiple constraints clearly and in a consistent order</t>
  </si>
  <si>
    <t>Look for whether the model deals sensibly with a misspelled locked city at max days, instead of randomly focusing on only one issue.
Mission failure (max days reached) ← highest priority
Off-context limit reached (fallback / reassignment)
Invalid/locked action (e.g., locked city)
Input recovery (misspelling)
State redundancy (already visited / already here)</t>
  </si>
  <si>
    <t>C11. Recovery Strategy Appropriateness</t>
  </si>
  <si>
    <t>Whether the model selects the most appropriate recovery strategy when multiple valid responses exist</t>
  </si>
  <si>
    <t>Robustness, state awareness, constraint probes</t>
  </si>
  <si>
    <t>Inappropriate strategy (e.g., rejects when recovery is obvious)</t>
  </si>
  <si>
    <t>Acceptable but suboptimal strategy</t>
  </si>
  <si>
    <t>Most appropriate strategy for the situation</t>
  </si>
  <si>
    <t>Does the response match the degree of ambiguity and interaction context?</t>
  </si>
  <si>
    <t>0 (Fail)</t>
  </si>
  <si>
    <t>1 (Partial)</t>
  </si>
  <si>
    <t>2 (Strong)</t>
  </si>
  <si>
    <t>What to look for</t>
  </si>
  <si>
    <t>Q1. Output Exclusivity</t>
  </si>
  <si>
    <t>Mentions multiple constraints</t>
  </si>
  <si>
    <t>Mostly focused but slight leakage</t>
  </si>
  <si>
    <t>Only the dominant constraint</t>
  </si>
  <si>
    <t>Any mention of lock, typo, off-context = penalty</t>
  </si>
  <si>
    <t>Q2. Output Precision</t>
  </si>
  <si>
    <t>Vague, verbose, or noisy</t>
  </si>
  <si>
    <t>Understandable but slightly wordy</t>
  </si>
  <si>
    <t>Clear, concise, direct</t>
  </si>
  <si>
    <t>Does it say exactly what needs to be said—no more, no less?</t>
  </si>
  <si>
    <t>Q3. Instruction / Format Alignment</t>
  </si>
  <si>
    <t>Ignores expected format or tone</t>
  </si>
  <si>
    <t>Mostly aligned but slightly off</t>
  </si>
  <si>
    <t>Fully aligned with prompt structure</t>
  </si>
  <si>
    <t>Does it follow your structured prompt design?</t>
  </si>
  <si>
    <t>Q4. Control Cleanliness</t>
  </si>
  <si>
    <t>Feels like free-form generation</t>
  </si>
  <si>
    <t>Some structure but still loose</t>
  </si>
  <si>
    <t>Clearly rule-based and deterministic</t>
  </si>
  <si>
    <t>Does it feel like a “decision output” rather than storytelling?</t>
  </si>
  <si>
    <t>Q5. Output Consistency</t>
  </si>
  <si>
    <t>Outputs differ significantly across runs</t>
  </si>
  <si>
    <t>Same outcome, but variation in phrasing/structure</t>
  </si>
  <si>
    <t>Nearly identical outputs across runs</t>
  </si>
  <si>
    <t>Probe family</t>
  </si>
  <si>
    <t>ID</t>
  </si>
  <si>
    <t>Description</t>
  </si>
  <si>
    <t>Scenario examples</t>
  </si>
  <si>
    <t>Criteria used</t>
  </si>
  <si>
    <t>P1</t>
  </si>
  <si>
    <t>Canonical Execution</t>
  </si>
  <si>
    <t>Full game (expected input)</t>
  </si>
  <si>
    <t>c1, c2, c3</t>
  </si>
  <si>
    <t>P2</t>
  </si>
  <si>
    <t>Constraint Enforcement</t>
  </si>
  <si>
    <t>illegal off-context, bypass, max days, invalid commands</t>
  </si>
  <si>
    <t>c4, c6, c8, c9</t>
  </si>
  <si>
    <t>P3</t>
  </si>
  <si>
    <t>State Awareness</t>
  </si>
  <si>
    <t>revisit city, revisit location, progression</t>
  </si>
  <si>
    <t>c5, c6</t>
  </si>
  <si>
    <t>P4</t>
  </si>
  <si>
    <t>Robustness</t>
  </si>
  <si>
    <t>mispelled city or location</t>
  </si>
  <si>
    <t>c6, c7, c8</t>
  </si>
  <si>
    <t>P5</t>
  </si>
  <si>
    <t>Competing Constraints</t>
  </si>
  <si>
    <t>follow the expected map for problem-solving (bruzzels + locked + max days + off-context)</t>
  </si>
  <si>
    <t>c4, c10</t>
  </si>
  <si>
    <t>Scenario_ID</t>
  </si>
  <si>
    <t>Scenario_description</t>
  </si>
  <si>
    <t>full_game</t>
  </si>
  <si>
    <t>illegal_off_context</t>
  </si>
  <si>
    <t>illegal_bypass_unlocked</t>
  </si>
  <si>
    <t>travel_visited_city</t>
  </si>
  <si>
    <t>visit_location_after_unlocking</t>
  </si>
  <si>
    <t>illegal_invalid_command</t>
  </si>
  <si>
    <t>same_location</t>
  </si>
  <si>
    <t>mispelled_city</t>
  </si>
  <si>
    <t>mispelled_location</t>
  </si>
  <si>
    <t>beyond_case_days</t>
  </si>
  <si>
    <t>competing_constraints</t>
  </si>
  <si>
    <t>condition_ID</t>
  </si>
  <si>
    <t>condition_description</t>
  </si>
  <si>
    <t>unstructured</t>
  </si>
  <si>
    <t>semi-structured</t>
  </si>
  <si>
    <t>structured</t>
  </si>
  <si>
    <t>condition</t>
  </si>
  <si>
    <t>probe</t>
  </si>
  <si>
    <t>scenario_id</t>
  </si>
  <si>
    <t>scenario_name</t>
  </si>
  <si>
    <t>scenario_description</t>
  </si>
  <si>
    <t>run</t>
  </si>
  <si>
    <t>input</t>
  </si>
  <si>
    <t>output</t>
  </si>
  <si>
    <t>criteria_used</t>
  </si>
  <si>
    <t>c1_task_relevance_quality</t>
  </si>
  <si>
    <t>c2_terminological_consistency</t>
  </si>
  <si>
    <t>c3_structural_coherence</t>
  </si>
  <si>
    <t>c4_constraint_enforcement</t>
  </si>
  <si>
    <t>c5_state_awareness</t>
  </si>
  <si>
    <t>c6_warning_redirection_quality</t>
  </si>
  <si>
    <t>C7_robustness_misspelling_noisy_input</t>
  </si>
  <si>
    <t>c8_hallucinated_action_suppression</t>
  </si>
  <si>
    <t>c9_out_of_boundary_recovery</t>
  </si>
  <si>
    <t>c10_competing_constraint_resolution</t>
  </si>
  <si>
    <t>C11_recovery_strategy_appropriateness</t>
  </si>
  <si>
    <t>criteria_count</t>
  </si>
  <si>
    <t>raw_points</t>
  </si>
  <si>
    <t>avg_used_criteria</t>
  </si>
  <si>
    <t>normalized_score</t>
  </si>
  <si>
    <t>notes</t>
  </si>
  <si>
    <t>output_length_chars</t>
  </si>
  <si>
    <t>is_failure</t>
  </si>
  <si>
    <t>Visit Louvre</t>
  </si>
  <si>
    <t>Narrator: As you step into the grand entrance of the Louvre Museum, the air is thick with anticipation and the faint scent of history. Your eyes are immediately drawn to an [egyptian exhibit poster] hanging on the wall, its vibrant colors a stark contrast to the surrounding chaos. Moving deeper into the heart of the museum, you notice a [gold-dusted vest] carelessly discarded near a display case, its shimmering flecks catching the dim light. A chill runs down your spine as you reach a balcony, where a single [balcony footprint] in the dust suggests a hasty escape. The trail leads you through a [renovation corridor], its temporary walls echoing with the whispers of secrets hidden within.</t>
  </si>
  <si>
    <t>Narrator: As you step into the grand halls of the Louvre Museum, the echoes of the recent heist reverberate through the opulent corridors, each whispering secrets of the stolen crown jewels. Your eyes catch an [egyptian exhibit poster] hanging slightly askew, as if disturbed in haste, hinting at a possible escape route. The glint of a [gold-dusted vest] discarded in a shadowy corner suggests a hasty disguise change by one of the thieves. Moving deeper into the museum, you spot a [balcony footprint] on the dusty marble floor, leading towards an open window, a silent testament to the thief's daring escape. The distant hum of activity draws you to a [renovation corridor], its hidden nooks and crannies perfect for concealing stolen treasures, urging you to delve further into the shadows of this mystery.</t>
  </si>
  <si>
    <t>Narrator: Under the dim glow of the Louvre Museum's security lights, you enter the eerily quiet halls, your footsteps echoing off the polished marble floors. The air is thick with the whispers of history, and the weight of the recent heist hangs heavily in the atmosphere. Your eyes are drawn to a vibrant [egyptian exhibit poster] hanging on the wall, its colors vivid against the muted surroundings, a reminder of the chaos that unfolded here. As you navigate through the deserted corridors, you notice a [gold-dusted vest] discarded near a service entrance, hinting at the thieves' clever disguise. The faint outline of a [balcony footprint] catches your eye, a subtle sign of their daring escape route. Turning a corner, you find yourself in a [renovation corridor], the perfect cover for the heist, and you sense you're closing in on the truth, the thrill of the chase igniting your resolve.</t>
  </si>
  <si>
    <t>add clues gold-dusted vest, balcony footprint</t>
  </si>
  <si>
    <t>Boss says: Well, look who finally decided to do their job. Congrats on finding something actually useful. It's almost like you're a real detective now. Keep it up, and you might even surprise me again.</t>
  </si>
  <si>
    <t>Boss says: Well, look at that—you actually managed to submit something relevant and useful. I was beginning to think you were just here for the coffee. Don't let this newfound competence go to your head; let's see if you can keep it up.</t>
  </si>
  <si>
    <t>Boss says: Well, look who decided to finally do their job correctly—congratulations on submitting valid clues. I was beginning to think you'd need a map to find a clue in the first place. Keep this up, and you might just meet the bare minimum expectations around here.</t>
  </si>
  <si>
    <t>visit cafe de flore</t>
  </si>
  <si>
    <t>Narrator: As you step into the bustling `Café de Flore`, the rich aroma of freshly brewed coffee envelops you, mingling with the chatter of intellectuals and tourists alike. Your eyes are immediately drawn to a table in the corner, where a [cash-stacked table] seems out of place amidst the usual patrons. Nearby, an artist sketches absentmindedly, and you notice a [crown doodle] emerging on his notepad, raising your suspicion. On another table, [philosophy notebooks] are scattered, their pages filled with profound thoughts and cryptic annotations. Among the remnants of hurried conversations, [empty espresso cups] clutter the tabletops, suggesting the recent presence of someone who might hold the key to your investigation.</t>
  </si>
  <si>
    <t>Narrator: The air is thick with the aroma of freshly brewed coffee as you step into Café de Flore, a Parisian haven bustling with chatter and the clinking of porcelain. This spot is known for its intellectual history, a fitting backdrop for those who orchestrated the audacious heist at the Louvre. Your eyes scan the tables, eventually landing on a [cash-stacked table] in the corner, seemingly abandoned yet oddly conspicuous. Nearby, a collection of [philosophy notebooks] lie open, their pages scribbled with musings that could hide a coded message. Among the clutter of the table, you spot an odd [crown doodle] on a napkin, its simplicity betraying a deeper significance. As you ponder these connections over [empty espresso cups], you sense the trail growing warmer, each clue pulling you deeper into the web of intrigue that stretches across Europe.</t>
  </si>
  <si>
    <t>Narrator: You step into the bustling atmosphere of Café de Flore, the aroma of freshly brewed coffee mingling with the chatter of patrons. As you scan the room, your eyes catch a glimpse of a [cash-stacked table] in the corner, an unusual sight amidst the usual clientele. You edge closer, noticing a scattered collection of [philosophy notebooks] beside the cash, their pages filled with scribbled musings. On the table, a [crown doodle] is etched hastily onto a napkin, the symbol strikingly familiar from the heist at the Louvre. Nearby, a pair of [empty espresso cups] suggests a hasty departure, leaving you with the feeling that you’re one step behind the elusive thieves.</t>
  </si>
  <si>
    <t>add clues crown doodle, cash-stacked table</t>
  </si>
  <si>
    <t>Boss says: Wow, you actually found something useful. I’m shocked. I guess miracles do happen. Keep up this unexpected competence.
Boss says: You’re done with Paris. Finally. Brussels is open. Move it.</t>
  </si>
  <si>
    <t>Boss says: Well, look who finally decided to join the ranks of the competent. Your submission is actually useful—what a shocker! Maybe next time, we won't need a parade when you get something right. Keep it up, or at least try to.
Boss says: Paris is done. Brussels is now unlocked. Stop standing around and get moving. Time is ticking.</t>
  </si>
  <si>
    <t>Boss says: Well, look at that—you actually managed to submit valid clues. I guess miracles do happen. Don't get too comfortable; this is what you're supposed to be doing. Keep up the bare minimum, will you?
Boss says: Paris is done. Brussels is unlocked. Don’t dawdle—move on. Time’s ticking.</t>
  </si>
  <si>
    <t>Travel to brussels</t>
  </si>
  <si>
    <t>Narrator: As you sip the last of your espresso at the iconic Café de Flore in Paris, the gentle hum of the city wraps around you like a familiar embrace. Today, you embark on a seamless journey northward to the vibrant city of Brussels. With the crisp morning air invigorating your senses, you make your way to the Gare du Nord, where the Thalys train awaits. Your journey unfolds like a well-rehearsed symphony: the train glides effortlessly through the picturesque French countryside, each passing village a fleeting whisper of charm and history. You find your seat by the window, the rhythmic clatter of the tracks providing a soothing backdrop to your thoughts. Luck is on your side, for the journey is smooth and punctual, each connection aligning perfectly as though choreographed by the travel gods themselves.
As the train crosses into Belgium, the landscape subtly shifts, fields giving way to the gentle undulations of the Flemish countryside. Your fellow travelers, a mosaic of languages and stories, add to the rich tapestry of your adventure. Before you know it, you arrive in Brussels, the city greeting you with its characteristic blend of old-world grandeur and modern vibrancy. The aroma of waffles and chocolate beckons as you step off the train, your journey from the heart of Paris to this new city a testament to your impeccable timing and fortune. Welcome to Brussels, where your next chapter awaits with open arms.
Boss says: Listen up! You’ve landed in Brussels. The team didn’t pick these spots for their health! Get to [Grand Place], [Brussels Central Station], [Belgian Comic Strip Center], and [Botanical Garden of Brussels]. Chop chop! No time to waste!</t>
  </si>
  <si>
    <t>Narrator: Your journey from the artistic heart of Paris, a city that dances between the past and the present with each cobblestone, begins at the iconic Café de Flore. With the aroma of freshly brewed coffee still lingering in your senses, you step onto the train that promises to whisk you away to the vibrant charm of Brussels. The train glides smoothly out of the station, the world outside transforming into a blur of lush countryside and quaint villages.
But as fate would have it, the universe has decided to play a little game. Your train encounters a series of delays, each more whimsical than the last: a herd of sheep leisurely crossing the tracks, an unscheduled stop at a picturesque town you never knew existed, and a comical mix-up with the luggage that sees your suitcase momentarily join a group of tourists headed in the wrong direction. What should have been a swift journey stretches over three amusing days, each moment an unexpected chapter in your travel saga. Finally, as the sun dips below the horizon, painting the sky in hues of amber and violet, you arrive in Brussels. The city awaits with its twinkling lights and the promise of new discoveries, ready to weave you into its own unique tapestry.
Boss says: Agent, welcome to Brussels. The team has narrowed down your next stops. Get to [Grand Place], then make your way to [Brussels Central Station]. Don't dawdle; next up is the [Belgian Comic Strip Center], and wrap it up at the [Botanical Garden of Brussels]. Chop-chop! This investigation won't solve itself.</t>
  </si>
  <si>
    <t>Narrator: As the sun rose over the iconic Parisian skyline, you found yourself bidding adieu to the charming allure of Café de Flore. The journey from Paris to Brussels promised a swift passage, yet the winds of fortune had their own playful agenda. Boarding the sleek train that whisked you through the French countryside, you were lulled by the rhythmic clatter of wheels on tracks. However, as fate would have it, the train decided to adopt a more leisurely pace, turning what was meant to be a quick jaunt into a two-day escapade.
Your first hint of delay came when a jovial conductor, with an apologetic smile, informed passengers of unexpected track maintenance. Undeterred, you embraced the opportunity to savor the rustic charm of a quaint village stop, where a local market offered a delightful array of cheeses and pastries. As the journey resumed, a minor detour led you through verdant landscapes, each scene more picturesque than the last. Finally, as the train rolled into Brussels, the city welcomed you with its intricate lacework of streets and the promise of new discoveries. This brief interlude, though extended, was a tapestry of unplanned adventures and delightful mishaps, setting the stage for the next chapter of your investigation.
Boss says: Agent, welcome to Brussels. The team has boiled it down for you. Get to [Grand Place], [Brussels Central Station], [Belgian Comic Strip Center], and [Botanical Garden of Brussels] pronto. We don't have all day. Move it!</t>
  </si>
  <si>
    <t>visit grand place</t>
  </si>
  <si>
    <t>Narrator: As you step into the bustling heart of the Grand Place, the vibrant scene almost distracts you from your mission. However, your keen eye quickly spots [temporary hoarding panels] surrounding one of the guildhalls, hinting at recent construction work that seems oddly timed. You weave through the crowd and find a [dusty jewel bag] tucked discreetly behind one of the panels, its presence confirming your suspicions. Nearby, an [umbrella with monogram] leans against a lamppost, its initials matching those of a known member of the gang. As you gaze upwards, the [guildhall flags] flutter in the wind, casting shadows that seem to point toward the next step in your pursuit.</t>
  </si>
  <si>
    <t>Narrator: As you step into the bustling heart of Grand Place, the cobblestones echo beneath your feet, a stark contrast to the silent corridors of the Louvre that now stand stripped of their treasures. The vibrant flags adorning the guildhalls flutter in the wind, and your eyes catch sight of a [dusty jewel bag] tucked behind a nearby bench, its presence a silent whisper of the heist's aftermath. Your gaze shifts to the [temporary hoarding panels] erected around a construction site, reminiscent of the thieves' clever disguises. A discarded [umbrella with monogram] lies abandoned against a wall, its initials teasing you with the possibility of a lead. With each clue weaving into the fabric of the city, you sense the chase tightening, the path to justice drawing near.</t>
  </si>
  <si>
    <t>Narrator: As you step into the bustling heart of Grand Place, the ornate facades of the guildhalls loom over the square, whispering secrets of old trades and clandestine dealings. The air is charged with the urgency of your mission—tracking the audacious thieves who vanished with the Louvre's crown jewels. Your eyes catch sight of [temporary hoarding panels] haphazardly stacked near a construction site, echoing the gang's deceptive guise. A [dusty jewel bag] lies discarded in the shadow of a grand monument, a grim reminder of what was lost. Glancing up, your gaze fixes on the fluttering [guildhall flags], their vibrant colors a stark contrast to the ominous task at hand. Nearby, an [umbrella with monogram] rests against a café table, its owner nowhere in sight, hinting at a hurried departure. The scene sets your pulse racing, driving you deeper into the tangled web of this high-stakes pursuit.</t>
  </si>
  <si>
    <t>add clues dusty jewel bag, umbrella with monogram</t>
  </si>
  <si>
    <t>Boss says: Oh wow, you found relevant clues. What a revelation! Almost like that's your job or something. Keep this up, and you might actually meet basic expectations.</t>
  </si>
  <si>
    <t>Boss says: Well, well, well, look who finally decided to submit something useful. I was beginning to think miracles were a myth. Try to keep this up, and maybe I won't need to buy a new stress ball this week.</t>
  </si>
  <si>
    <t>Boss says: Well, well, look who finally managed to submit something that isn't a complete disaster. Congratulations on doing the bare minimum and submitting valid clues for once. Let’s hope this isn't a one-off miracle and you continue to perform at a level that doesn't make me want to tear my hair out.</t>
  </si>
  <si>
    <t>visit central station</t>
  </si>
  <si>
    <t>Narrator: As you step into the bustling heart of Brussels Central Station, the sound of trains rushing past fills your ears. Your eyes scan the crowd, catching sight of a [chocolate kiosk] that seems innocuous at first glance, yet there's an unsettling aura about it. Nearby, you notice a [suspicious backpack] carelessly left on a bench, its contents concealed but potentially significant to your case. Your instincts guide you to a [security camera snapshot] taped to a wall, showing figures hastily making their way through the station. You pause to study the [platform signage], each line a potential trail leading you closer to the elusive criminals who orchestrated the audacious heist.</t>
  </si>
  <si>
    <t>Narrator: The bustling atmosphere of Brussels Central Station envelops you as you step onto the platform, the echoes of your mission at the Louvre still resonating in your mind. You're here to trace the elusive gang of thieves, their trail as cold as the marble floors beneath your feet. Your eyes catch a [chocolate kiosk] nearby, its sweet wares a stark contrast to the bitter chase you're on. A [suspicious backpack] slung carelessly on a bench draws your attention, its contents potentially holding secrets of the heist. You glance at the [security camera snapshot] in your hand, trying to match the grainy figures with the passersby. As you move towards the [platform signage], the weight of the investigation presses upon you, each step echoing with the urgency to uncover the truth.</t>
  </si>
  <si>
    <t>Narrator: As you step into the bustling confines of Brussels Central Station, the air is thick with the aroma of freshly brewed coffee and the chatter of travelers. The case of the Louvre heist still fresh in your mind, you scan the scene for any hint of the elusive gang. Your attention is drawn to a [chocolate kiosk], where the vendor's nervous glances suggest something more than just a sweet tooth. Nearby, a [suspicious backpack] rests unattended on a bench, its bulging contents a potential link in the chain of events. You make your way to the security office, where a [security camera snapshot] awaits, capturing a fleeting image of a known associate of the thieves. The [platform signage] above you flickers, announcing the next train to Paris, and with it, the possibility of closing in on your quarry.</t>
  </si>
  <si>
    <t>add clues suspicious backpack, security camera snapshot</t>
  </si>
  <si>
    <t>Boss says: Oh look, you actually found relevant clues. I’m shocked, truly. It’s almost like you’re doing the job you’re paid for. Keep this up and we might actually solve a case.
Boss says: You’re done in Brussels. Amsterdam’s waiting. Get moving. Don’t waste time.</t>
  </si>
  <si>
    <t>Boss says: Well, look who finally decided to submit something useful. Congratulations, you’ve reached the baseline of not being completely useless. Don’t get too comfortable with the pat on the back; I expect this level of competence more than once in a blue moon.
Boss says: Brussels is done. Amsterdam is unlocked and waiting. Don't dawdle—get moving. Time is ticking.</t>
  </si>
  <si>
    <t>Boss says: Well, well, look who finally decided to submit something useful. It only took how long? A miracle, really. Keep up this level of competence, and maybe, just maybe, we'll solve a case before the century is out.
Boss says: Brussels is done. Amsterdam's unlocked. Move it. Get going.</t>
  </si>
  <si>
    <t>Travel to amsterdam</t>
  </si>
  <si>
    <t>Narrator: Ah, brave traveler, your journey from the bustling heart of Brussels, at the iconic Brussels Central Station, to the charming canals of Amsterdam is set to be an adventure of both delight and patience. You set off with the excitement of a swift train ride ahead, a mere day’s journey through the picturesque landscapes of Belgium and the Netherlands. However, the travel gods have decided to sprinkle a bit of mischief along your path. As your train gently glides out of Brussels, a whimsical announcement crackles through the speakers: a delightful, yet unplanned, delay of two days due to a most unusual occurrence—a parade of cows has decided to take a leisurely stroll across the tracks near Antwerp, their bovine curiosity piqued by the rumble of passing locomotives.
Not one to be deterred, you embrace this unexpected turn with good humor. You find yourself an impromptu guest in Antwerp, where you explore cobblestone streets and savor the local chocolates, while the cows, having concluded their promenade, allow the journey to resume. As you finally cross the Dutch border, the train conductor, with a wink, assures you that these delays are but tales to share over a warm drink in an Amsterdam café. And so, with a story to tell and a smile on your face, you arrive in Amsterdam, two days later than planned but richer for the experience.
Boss says: Agent, you're in Amsterdam. Focus! The team has boiled it down for you. Hit [Dam Square], then move to [Anne Frank House]. Don't dawdle! Next, check out [Canal-side Café]—no coffee breaks! Finally, get to [Vondelpark]. Get it done, and don't waste time!</t>
  </si>
  <si>
    <t>Narrator: As you depart from the bustling heart of Brussels, the iconic Brussels Central Station, the train hums beneath your feet, whisking you towards the vibrant allure of Amsterdam. The journey begins with the gentle sway of the carriage, the rhythmic clatter of wheels on tracks a comforting backdrop as Belgium’s lush countryside unfurls outside your window. But ah, the gods of travel have a mischievous glint in their eye today! Just as you settle into the tranquil rhythm, a sudden announcement crackles through the intercom: a flock of wayward geese has chosen the tracks for an impromptu picnic, resulting in a delay. 
Undeterred, you embrace this unexpected pause with a sense of humor, indulging in a steaming cup of Belgian hot chocolate from the train’s café. Hours stretch languidly, as the delay morphs into a comedic saga of track-switching shenanigans and missing conductors. By the time you cross into the Netherlands, the sun has dipped into the horizon, painting the sky in shades of amber and rose. Finally, after a journey that has sprawled over five unplanned days filled with amusing anecdotes and newfound patience, the train pulls into the bustling embrace of Amsterdam. The city’s canals glisten under the moonlit sky, welcoming you with open arms and the promise of new adventures to come.
Boss says: Welcome to Amsterdam, agent. The team has narrowed down your next stops to these crucial spots: [Dam Square], [Anne Frank House], [Canal-side Café], and [Vondelpark]. Get moving, time's ticking, and this investigation won't solve itself. I expect results.</t>
  </si>
  <si>
    <t>Narrator: As you step out of Brussels Central Station, the bustling heart of Brussels, the air is filled with the promise of a new adventure. The journey to Amsterdam, a city of canals and cobblestones, awaits you with open arms. You board the sleek Thalys train, its polished exterior gleaming like a red arrow poised to fly. But as the train glides smoothly out of the station, a comedic dance of misfortune begins. A sudden announcement crackles over the intercom: a herd of sheep has wandered onto the tracks near Antwerp. The train halts, and you find yourself peering out at the pastoral scene, a gentle reminder of the countryside's unpredictable charm.
Hours stretch into an unexpected overnight stay, the sheep stubbornly holding court. Yet, this delay gifts you a serendipitous exploration of Antwerp's quaint streets by moonlight. As dawn breaks, the tracks clear, and you’re once again en route, the train humming a steady rhythm. You arrive in Amsterdam a little later than planned, but the city's vibrant energy quickly envelops you. The delay may have added two days to your journey, but it also added stories worth telling, a whimsical prelude to your investigation in the heart of the Netherlands.
Boss says: Welcome to Amsterdam, agent. Our team has boiled down your next stops. Visit [Dam Square], [Anne Frank House], [Canal-side Café], and [Vondelpark]. Move it! The clock's ticking, and this investigation isn't waiting for you. Get to it.</t>
  </si>
  <si>
    <t>verbose</t>
  </si>
  <si>
    <t>visit dam square</t>
  </si>
  <si>
    <t>Narrator: As you step into the bustling heart of Dam Square, the vibrant energy of Amsterdam envelops you. Your eyes scan the area, quickly catching sight of [portable barricade stacks] near the edge of the square, remnants of a recent event that might have been used by the thieves to conceal their escape. The ground is littered with [chalk-marked paving], cryptic symbols hinting at a covert path through the city. Your attention is drawn to the tangled [event power cables], snaking along the cobblestones, possibly used to disable security systems during the heist. Nearby, the chatter of [souvenir vendors] fills the air, their stalls brimming with trinkets that could easily hide a secret message or clue. As you move through the square, every detail seems to pull you deeper into the mystery.</t>
  </si>
  <si>
    <t>Narrator: As you step into the bustling heart of Amsterdam's Dam Square, the echoes of the Louvre heist resonate in your mind. Your eyes dart across the lively scene, searching for any sign of the thieves' trail. Among the throngs of tourists, you notice [portable barricade stacks] arranged inconspicuously along the edges of the square, reminiscent of the construction site ruse used in Paris. Your gaze follows the [chalk-marked paving], a subtle breadcrumb perhaps left by the criminals to guide their escape. Power hums through the [event power cables] snaking beneath your feet, suggesting a recent gathering, or perhaps, a cover for illicit activities. As you approach the [souvenir vendors], their chatter seems to carry whispers of secrets, drawing you closer to the truth.</t>
  </si>
  <si>
    <t>connected with a previous scenario.</t>
  </si>
  <si>
    <t>Narrator: As you step into the bustling heart of Dam Square, the air is thick with the chatter of tourists and the distant echo of street performers. The infamous heist at the Louvre still fresh in your mind, you scan the surroundings, keenly aware that the trail of the thieves might lead you here. Your eyes catch on [portable barricade stacks] lining the edges of an area marked for an upcoming event, a possible hideout or distraction used by the cunning gang. The cobblestones beneath your feet reveal [chalk-marked paving], hinting at a cryptic path or message left behind. Nearby, [event power cables] snake across the square, possibly powering more than just innocent festivities. Amidst the crowd, [souvenir vendors] peddle their wares, their presence a reminder of the constant movement and disguise, much like the thieves themselves. With every step, the pieces of this European puzzle grow clearer, yet the picture remains just out of reach.</t>
  </si>
  <si>
    <t>more like a storytelling</t>
  </si>
  <si>
    <t>add clues portable barricade stacks, chalk-marked paving</t>
  </si>
  <si>
    <t>Boss says: Wow, you found relevant clues. Gold star for doing your job! Maybe next time, we'll even get a parade. Keep up the bare minimum!</t>
  </si>
  <si>
    <t>Boss says: Well, look at that, you actually submitted something useful for once. I guess miracles do happen. Keep this up, and maybe one day, you'll reach the dizzying heights of basic competence.</t>
  </si>
  <si>
    <t>node_outboundaries/start</t>
  </si>
  <si>
    <t>first attempt, routed to `outboundary`</t>
  </si>
  <si>
    <t>Boss says: Well, look at that, you finally managed to submit something valid. I suppose even a broken clock is right twice a day. Let's see if you can make this a habit, shall we</t>
  </si>
  <si>
    <t>visit anne frank house</t>
  </si>
  <si>
    <t>Narrator: You step into the historic Anne Frank House, the air thick with the whispers of the past. As you navigate through the narrow corridors, your eyes catch a glint of something unusual: a [non-public access tag] tucked beneath a dusty corner of the staircase. Your instincts kick in, urging you to inspect further, and you notice the [recently reinforced stair] under your feet, a curious anomaly in such an aged structure. Nearby, a [small key] lies hidden behind a loose brick, its purpose a mystery that begs to be solved. Just as you pocket the key, a group of [museum volunteers] passes by, their chatter hinting at odd occurrences in the area, fueling your determination to unravel the secrets left behind by the cunning thieves.</t>
  </si>
  <si>
    <t>Narrator: The air is heavy with history as you step into the hallowed halls of the Anne Frank House, a stark contrast to the chaos of the recent Louvre heist. You make your way through the narrow corridors, eyes scanning for any sign of the thieves' trail. A [non-public access tag] catches your attention, partially hidden beneath a loose floorboard, a potential lead pointing to unauthorized movement. As you ascend a [recently reinforced stair], it creaks underfoot, suggesting recent repairs that don't quite fit with the preserved nature of the building. In a dimly lit corner, you find a [small key], its purpose yet unknown, but its significance undeniable. A conversation with [museum volunteers] reveals an unusual interest in these repairs from an unfamiliar group, heightening the tension in your pursuit of justice.</t>
  </si>
  <si>
    <t>Narrator: As you step into the Anne Frank House, the air is thick with the weight of history, yet your mind is focused on the present case. The chatter of tourists fades as you notice a [non-public access tag] tucked discreetly into the pocket of a museum volunteer's uniform. Your footsteps echo against the [recently reinforced stair], a curious detail in such a historic setting. In a quiet corner, you find a [small key] hidden beneath a loose floorboard, its presence whispering secrets of clandestine meetings. The volunteers, usually so attentive, seem distracted, perhaps aware of something more than they let on. Your heart races with the realization that each clue brings you closer to unraveling the mystery of the Louvre heist.</t>
  </si>
  <si>
    <t>add clues non-public acess tag, small key</t>
  </si>
  <si>
    <t>Boss says: Well, color me shocked! You actually found relevant clues. I almost forgot that's what you're paid for. Keep it up, Sherlock.
Boss says: You’re done in Amsterdam. Berlin’s open. Get moving. Don’t waste time.</t>
  </si>
  <si>
    <t>Boss says: Well, well, well, it seems you finally managed to submit something useful. I was beginning to wonder if you knew what a relevant clue looked like. Let's hope this isn't a fluke and you keep up this sudden display of competence.
Boss says: Amsterdam's done. Berlin's unlocked and waiting. Don't dawdle—move on now. Get to it!</t>
  </si>
  <si>
    <t>Boss says: Well, well, look who finally managed to submit something valid. I suppose even a broken clock is right twice a day. Keep it up—maybe one day you’ll hit competence on purpose.
Boss says: Amsterdam's done. Berlin's unlocked. Move it. Time's ticking.</t>
  </si>
  <si>
    <t>Travel to berlin</t>
  </si>
  <si>
    <t>Narrator: As you bid farewell to the picturesque canals and the poignant history of Amsterdam's Anne Frank House, you set your sights on the vibrant city of Berlin. Your journey is supposed to be a swift one-day affair, but, oh, how the travel gods love to play their little tricks! First, there was the unexpected delay at the Amsterdam train station due to a surprise inspection—apparently, a rogue artist decided the train was the perfect canvas for their next masterpiece. Then, as your train finally chugged along the verdant Dutch landscapes, a sudden announcement: a herd of sheep had taken an impromptu nap on the tracks, adding an extra hour to your journey.
Undeterred, you finally cross the border into Germany, only to find that your connecting train to Berlin has been temporarily rerouted due to a local festival involving, of all things, competitive sausage grilling. The aroma was tantalizing, but time was not on your side. After a series of entertaining yet time-consuming detours, including a bus ride with a driver who insisted on sharing his entire collection of Bavarian polka music, you finally arrive in Berlin, four days later than planned. Exhausted but amused by the unexpected adventure, you step onto the streets of Berlin, ready to embrace the city's rich history and vibrant culture.
Boss says: Agent, you finally made it to Berlin. Congrats. Now, quit sightseeing and get to work! The team has boiled down the list for you. Visit [Brandenburg Gate], [Museum Island], [Alexanderplatz], and [Tiergarten]. Chop-chop! We don’t have all day!</t>
  </si>
  <si>
    <t>Narrator: Ah, Agent, your journey begins in the cobblestone heart of Amsterdam, right outside the historic echo of the Anne Frank House. The canals bid you farewell as you board a train bound for Berlin, a city humming with the weight of history and the pulse of modernity. But as the train pulls away, the specter of mischief seems to hitch a ride. Just as you settle in, the conductor announces a temporary halt due to sheep on the tracks—a peculiar Dutch farewell, perhaps. 
The train eventually resumes its rhythm, only to be slowed again by a surprise burst of summer rain, delaying your crossing into Germany by hours that stretch like taffy. You make the most of these hours, sipping coffee and sharing stories with fellow passengers, each one a character in this travel tapestry. As the landscape blurs from tulip fields to industrial vistas, a final hiccup—a misdirected luggage fiasco—adds to the comedic delay. Finally, after a journey that dances on the edge of the absurd, Berlin greets you with open arms and a sky painted with the warm hues of dusk. Welcome to Berlin, where your investigation can now unfold amidst the city's vibrant soul.
Boss says: Agent, welcome to Berlin. The team’s boiled it down to the essentials. Get to [Brandenburg Gate], [Museum Island], [Alexanderplatz], and [Tiergarten]. Move it! We don’t have all day. Get this investigation rolling now!</t>
  </si>
  <si>
    <t>Narrator: As the sun peeks over the canal-laced cityscape of Amsterdam, you embark on your journey from the poignant shadows of the Anne Frank House, ready to unravel the mysteries awaiting in Berlin. Your path is meant to be a swift one-day traverse, a seamless glide across borders. Yet, the fates have a penchant for humor, and as you board the sleek train weaving its way through the Dutch countryside, a series of amusing misadventures unfold. The train pauses unexpectedly in a quaint town, the cause? A family of ducks leisurely crossing the tracks, their waddling an unhurried display of defiance against your timetable. 
Later, a brief layover in a bustling German station turns into an impromptu hunt for misplaced luggage, your suitcase having taken a mischievous detour on a different train. These whimsical delays stretch your journey into an odyssey of five days, each moment adding a page to your travel tale. Finally, as you roll into the vibrant heart of Berlin, the city greets you with a patchwork of history and modernity, the perfect backdrop for the next chapter of your investigation. Here, amidst the echoes of the past and the pulse of the present, your adventure continues.
Boss says: Welcome to Berlin, agent. The team has painstakingly narrowed down your next stops. Hit [Brandenburg Gate], then [Museum Island], move on to [Alexanderplatz], and finish at [Tiergarten]. Don't dawdle—this isn't a vacation. Get it done, and report back.</t>
  </si>
  <si>
    <t>too strict -&gt; gives the ordered locations as instructions</t>
  </si>
  <si>
    <t>visit brandenburg gate</t>
  </si>
  <si>
    <t>Narrator: As you approach the iconic Brandenburg Gate, the evening sun casts long shadows across the cobblestone plaza. The air is filled with the murmur of tourists, and you notice a group huddled together, listening intently through their [tour group headsets]. Your keen eye catches a glimpse of something unusual on the ground—a piece of [load-rated paving mats] that seems out of place in this historic setting. Nearby, a [silk scarf] flutters from a low-hanging branch, its vibrant colors stark against the backdrop of neoclassical architecture. As you carefully examine the area, your attention is drawn to a set of [temporary access bollards], strategically placed, hinting at recent unauthorized activity. Each clue reinforces the trail you are following, bringing you one step closer to unraveling the mystery behind the audacious heist.</t>
  </si>
  <si>
    <t>Narrator: The grandeur of the Brandenburg Gate looms before you, its historical weight a fitting backdrop for the urgency of your mission. As you scan the bustling square, your eyes catch the subtle markings of [load-rated paving mats] beneath your feet, a possible link to the construction ruse used in the Louvre heist. Nearby, a group of tourists gathers, their [tour group headsets] buzzing with the voice of a guide, a reminder of how easily one can blend into the crowd. Your attention shifts to a discarded [silk scarf], its delicate fabric out of place against the harsh cobblestones, perhaps dropped by someone fleeing in haste. A few steps away, the [temporary access bollards] stand as silent sentinels, hinting at a recent, unauthorized passage. Each clue deepens the puzzle, drawing you further into the web spun by the elusive thieves.</t>
  </si>
  <si>
    <t>Narrator: As you stand before the majestic Brandenburg Gate, the echoes of history whispering through its arches, you can't help but feel the weight of your mission. The cobblestone path beneath your feet feels oddly familiar, and then you notice [load-rated paving mats] carefully placed nearby, perhaps to support heavy equipment used by the elusive gang. Your eyes scan the bustling square, catching sight of [temporary access bollards] that could have been easily manipulated by the skilled thieves to facilitate a swift escape. Among the throngs of tourists, a [silk scarf] flutters to the ground, its opulence reminiscent of the treasures stolen from the Louvre. You tune into the chatter around you, realizing that the [tour group headsets] could be a perfect cover for discreet communication among the criminals. Each discovery intensifies the pulse of your investigation, drawing you deeper into the mystery that winds through the heart of Europe.</t>
  </si>
  <si>
    <t>add clues load-rated paving mats, silk scarf</t>
  </si>
  <si>
    <t>Boss says: Wow, you found relevant clues. Stop the presses. Maybe next time, you'll do your job without needing a parade. Congrats on being almost competent.</t>
  </si>
  <si>
    <t>Boss says: Well, well, looks like you've managed to stumble upon something relevant for once. I suppose miracles do happen. Don't get too comfortable, though; this is the bare minimum expected from someone with a badge. Keep it up, and you might just reach the dizzying heights of adequacy.</t>
  </si>
  <si>
    <t>Boss says: Oh, look at that, you actually managed to submit valid clues this time. Miracles do happen! I suppose even you can get it right once in a while. Let's see if you can keep this streak of competence going.</t>
  </si>
  <si>
    <t>visit museum island</t>
  </si>
  <si>
    <t>Narrator: As you step onto Museum Island, the echoes of the recent heist haunt the air, blending with the whispers of history from the ancient stone structures around you. Your footsteps lead you to a nondescript entrance where [shared service tunnels] wind beneath the city, a potential escape route for the cunning thieves. The dimly lit corridors reveal scattered remnants, including a [jewelry toolkit] lying abandoned in the shadows, hinting at the tools of their trade. You make your way to a secluded storage area, where a dusty ledger reveals [after-hours crate logs] — evidence of clandestine movements and hidden transactions. Nearby, the hum of [climate control monitors] reminds you of the precision and planning required to pull off such a brazen crime, suggesting that even the environment was manipulated to suit their needs.</t>
  </si>
  <si>
    <t>drifted away a bit</t>
  </si>
  <si>
    <t>Narrator: As you step onto Museum Island, the echoes of the Louvre heist resonate in your mind, urging you forward through the misty evening air. Your instincts lead you to the [shared service tunnels], a labyrinth beneath the surface that might have served as a clandestine escape route for the thieves. The faint glint of a [jewelry toolkit] catches your eye, its presence here as out of place as a crown in a pawnshop. You sift through the [after-hours crate logs], each entry a potential thread unraveling the thieves’ meticulous planning. A soft hum draws your attention to the [climate control monitors], their readings suggesting tampering that could have masked the heist's final moments. The pieces begin to align, each clue a step closer to unveiling the audacious criminals behind this international intrigue.</t>
  </si>
  <si>
    <t>Narrator: As you step onto the storied grounds of Museum Island, the air is thick with the whispers of history, yet your mind is focused on the present-day enigma of the Louvre heist. Navigating the labyrinthine corridors, you uncover a network of [shared service tunnels], their purpose clear in facilitating the thieves' clandestine movements. Your eyes catch the glint of a [jewelry toolkit] tucked behind a dusty exhibit, evidence of the meticulous planning that went into the heist. A quick scan of the [after-hours crate logs] reveals entries that don't quite add up, suggesting a clandestine operation disguised within the museum's routine shipments. As you pass the [climate control monitors], a thought strikes you about how the thieves could have manipulated the environment to their advantage. Each discovery fuels the chase, propelling you deeper into the mystery.</t>
  </si>
  <si>
    <t>add clues shared service tunnels</t>
  </si>
  <si>
    <t>Narrator: Please provide a clue. If you have more than one, separate them by a comma (e.g.: broken glass, residue, red stain, etc.).</t>
  </si>
  <si>
    <t>long clue description may be the cause for the model not interpreting the input correctly</t>
  </si>
  <si>
    <t>Boss says: Well, would you look at that, Agent. You actually submitted valid clues—stop the presses! I suppose even a broken clock is right twice a day, huh? Let’s hope this sudden bout of competence isn't just a fluke.
Boss says: You've wrapped up Berlin. Vienna is unlocked. Pack up and get moving. Time's wasting.</t>
  </si>
  <si>
    <t>add clues shared service tunnels, jewelry toolkit</t>
  </si>
  <si>
    <t>Boss says: Oh, look at you, actually finding relevant clues. Did you trip over them on your way to mediocrity? Congrats on finally doing what I pay you for. Keep this up, you might just make it to average.
Boss says: Done with Berlin. Vienna's open, so get moving. Don't waste time.</t>
  </si>
  <si>
    <t>added a second clue. The model added both clues.</t>
  </si>
  <si>
    <t>Boss says: Well, well, look who finally managed to submit something that isn't complete nonsense. I guess even a broken clock is right twice a day. Keep this up, and maybe, just maybe, you'll actually start doing your job regularly.
Boss says: Berlin's done. Vienna's unlocked. Move it, agent—time's wasting!</t>
  </si>
  <si>
    <t>add clues service tunnels, jewelry toolkit</t>
  </si>
  <si>
    <t>Boss says: Well, well, look who finally managed to submit something useful. I was beginning to think you were allergic to getting it right. Let’s see if you can keep up this miraculous display of competence.</t>
  </si>
  <si>
    <t>Travel to Vienna</t>
  </si>
  <si>
    <t xml:space="preserve">Narrator says: In the shadowed corridors of the Louvre, it all began with a brazen theft that shook the world. Disguised as mere construction workers, a cunning gang made off with the crown jewels, vanishing into the night. Your pursuit commenced in Paris, where a gold-dusted vest and a lone footprint on a balcony whispered of hidden tales. A crown doodle scribbled on a cash-stacked table hinted at the audacity of the thieves. The trail led you to Brussels, where a dusty jewel bag and a suspicious backpack pointed to the fugitives' hurried escape. With a security camera snapshot and an umbrella bearing a mysterious monogram, the pieces of the puzzle began to fit together.
Amsterdam held more secrets, its narrow alleys revealing portable barricade stacks and a non-public access tag that spoke of planned deception. A chalk-marked paving stone and a small key were the final whispers of the thieves' passage. It was in the shared service tunnels of Berlin, with load-rated paving mats and a jewelry toolkit, that you felt the impending culmination of your chase. A silk scarf abandoned in haste confirmed you were closing in. Each city left behind a breadcrumb, each clue a step closer to justice.
Your journey ended in Vienna, where the mastermind, Lucien Moreau, finally stood cornered. The relentless chase had spanned 17 days, a testament to your efficiency and determination, well within the looming 30-day deadline. With Moreau in custody, the world could breathe again, the crown jewels reclaimed, and justice served. Your triumph is a testament to the power of tenacity and the art of deduction, a satisfying conclusion to a tale of intrigue and pursuit.
\Boss says: Agent, you managed to wrap up the Louvre Heist in 17 days, huh? Congratulations, you globe-trotting sleuth! You left a trail of chaos from Paris to Vienna, and somehow, despite tripping over a gold-dusted vest and a suspicious backpack, you actually caught Lucien Moreau. The case is closed, and the world is safe from crown jewel-stealing maniacs, all thanks to your uncanny ability to stumble into success. As a token of my insincere gratitude, here's your reward: a lifetime supply of my old, expired coffee. Enjoy, detective superstar!
========== THE END! ==========&gt; </t>
  </si>
  <si>
    <t>it feels more mechanic</t>
  </si>
  <si>
    <t xml:space="preserve">Narrator says: As the dust settles on the Louvre Heist case, you stand at the pinnacle of your investigative triumph. The world holds its breath no longer, for Lucien Moreau, the mastermind behind the audacious theft of the crown jewels, has been apprehended. Your journey, a labyrinthine chase across Europe, began in the shadow of Paris, where a crown doodle and a gold-dusted vest whispered secrets of an impending heist. From the cash-stacked tables to the balcony footprints, each clue was a thread in the tapestry of truth you wove with meticulous precision.
Your pursuit led you through the winding streets of Brussels, where a dusty jewel bag and a suspicious backpack drew you ever closer to your quarry. In Amsterdam, the trail deepened with chalk-marked pavings and a small key that unlocked more than just doors—it unlocked the path to justice. Berlin's shared service tunnels and the jewelry toolkit were the final pieces of the puzzle, guiding you to Vienna, where the net finally closed around Moreau. It was here, amid the echoes of your relentless pursuit, that the criminal was captured, bringing the chase to its rightful end.
Time was your constant companion, a reminder of the mission's unforgiving deadline. Yet, in just 24 days—six days to spare—you triumphed where others might falter. The mission is complete, the case resolved, and justice served. As the curtain falls on this chapter, the echoes of your success resound, a testament to your unwavering dedication and the closure you've delivered to a world once held in the thrall of uncertainty.
\Boss says: Well, well, well, look who managed to catch Lucien Moreau and wrap up the Louvre Heist! I guess even a broken clock is right twice a day, huh? You somehow navigated through that circus of cities and clues like a blindfolded mime at a juggling contest—miraculously not dropping the ball! Congratulations, you’ve earned yourself a gold-plated paperweight that says “World’s Okayest Detective.” Game over, case closed!
========== THE END! ==========&gt; </t>
  </si>
  <si>
    <t xml:space="preserve">Narrator says: As you stand in Vienna, the final chapter of the Louvre Heist unfolds with a sense of accomplishment and justice. Lucien Moreau, the mastermind behind the audacious theft, is now captured, his reign of deception brought to an end. The trail of clues you meticulously followed through the heart of Europe now forms a vivid tapestry of your relentless pursuit. From the golden dust on a vest in Paris to the telling snapshot from a Brussels camera, and the small key discovered amidst Amsterdam's chaos, each piece was a testament to your unwavering resolve. These breadcrumbs of chaos led you, step by step, to the vibrant streets of Vienna, where the final act of this intricate game reached its crescendo.
The chase was a race against time, a relentless dance of intellect and intuition, demanding every ounce of your skill within the ticking constraint of 30 days. Yet, in a mere 20 days, you succeeded where many would have faltered. The pressure, ever-present, served not as a hindrance but as a catalyst, propelling you forward with unmatched determination. Each city, each clue, was a chapter in this gripping saga, guiding you ever closer to the elusive Moreau. And now, as the dust settles, the story concludes not in chaos, but in the quiet triumph of justice served.
With Moreau apprehended, the world breathes a sigh of relief, the priceless jewels once again safe from the clutches of greed. Your mission, a testament to diligence and courage, stands complete. The shadows of this saga retreat, leaving behind a legacy of truth and perseverance. As you reflect on this journey, the case of the Louvre Heist draws to a close, sealed with the finality of a story well-told and a mission fulfilled.
\Boss says: Well, well, well, look who finally caught Lucien Moreau! I guess even a blind squirrel finds a nut once in a while. Sure, the Louvre Heist case is closed, but did you really need to turn Europe upside down like it was your own personal scavenger hunt? I mean, stumbling through Paris, Brussels, Amsterdam, and Berlin like some bumbling tourist and still managing to catch the guy in Vienna... that's a new one. For your "brilliant" detective work, here's your reward: a lifetime supply of invisible ink! Enjoy writing your memoirs with that. Game over, case closed.
========== THE END! ==========&gt; </t>
  </si>
  <si>
    <t>it feels more like a compelling storytelling</t>
  </si>
  <si>
    <t>illegal off-context</t>
  </si>
  <si>
    <t>visit rio de janeiro</t>
  </si>
  <si>
    <t>Boss says: You think you’re Sherlock Holmes now? Leaving Paris without a single clue? Brilliant strategy. Maybe try solving the mystery from a café next time. Get back here before you lose your magnifying glass, genius!</t>
  </si>
  <si>
    <t>c4, c6, c8, c9, c11</t>
  </si>
  <si>
    <t>supposed to mention that the city wasn't allowed, but instead considered the clue rule.</t>
  </si>
  <si>
    <t>Boss says: Rio de Janeiro? Really? Are you trying to catch some sun instead of doing your job? You're supposed to be heading to Berlin, not planning a vacation. Get your act together and stop wasting everyone's time with these ridiculous mistakes!</t>
  </si>
  <si>
    <t>Boss says: What on earth were you thinking, trying to skip town before your job is done? You really thought you could just waltz out of Paris without collecting the necessary clues? Unbelievable! Do you even know the meaning of "minimum required"? It's like you're trying to win an award for impatience or incompetence. Get it together, or don't bother showing up!</t>
  </si>
  <si>
    <t>Boss says: What on earth were you thinking, trying to skip out on Paris before doing your job? You can't just prance off to the next city without collecting the minimum clues—did you think the investigation would magically solve itself? Maybe you missed the memo, but impatience and incompetence aren't the new detective skills. Get it together, or you'll be out of here faster than you can say "au revoir."</t>
  </si>
  <si>
    <t>Go to the Catacombs</t>
  </si>
  <si>
    <t xml:space="preserve">Boss says: You call that a request, genius? I didn't realize "vague" was your new specialty! I've got better things to do than decipher your cryptic nonsense. You know, like running an entire operation! Keep this up and I'll have to start a collection of your useless messages—what a delightful archive that will be!
Our internal team has identified these as priority hotspots:
Louvre Museum  
Café de Flore  
Gare du Nord  
Montmartre Park  </t>
  </si>
  <si>
    <t xml:space="preserve">Boss says: Hey, Agent Genius! You think you can just send a vague request and everyone will magically know what you're talking about? Thanks for wasting everyone's time, because apparently, you're allergic to specifics. Just so you know, these little gems of ambiguity are being tracked. Let's take a moment to consider the actual locations you might be referring to:
Dam Square  
Anne Frank House  
Canal-side Café  
Vondelpark  </t>
  </si>
  <si>
    <t xml:space="preserve">Boss says: You think we're mind readers now? Sending a request without specifying which location you meant is a fantastic way to waste everyone's time. Do you enjoy sending us on wild goose chases, or is that just a hobby? These vague, pointless messages are being tracked, so maybe try thinking next time before hitting send. Here's a little reminder of the locations you might actually mean:
Louvre Museum  
Café de Flore  
Gare du Nord  
Montmartre Park  </t>
  </si>
  <si>
    <t>Visit a tulip farm</t>
  </si>
  <si>
    <t>Boss says: I can't believe you sent me such a vague request! Are you trying to make me lose my mind, or just my patience? You must have a talent for wasting my time! Congratulations, you're on track to be the star of my useless message collection!
Our internal team identified the following locations as priority hotspots:
Louvre Museum  
Café de Flore  
Gare du Nord  
Montmartre Park</t>
  </si>
  <si>
    <t>Boss says: You know what I love? When my day gets disrupted by a vague, useless request! Seriously, how hard is it to name a location, huh? You’ve managed to waste everyone's time, and believe me, we're keeping track of these brilliant contributions. 
Here's a list of the locations you could have mentioned:
Dam Square  
Anne Frank House  
Canal-side Café  
Vondelpark</t>
  </si>
  <si>
    <t xml:space="preserve">Boss says: Great job, Agent! Thanks to your brilliant decision to send a vague location request, we’ve successfully managed to waste everyone's time. Next time, maybe specify a location? These useless messages are being tracked, so keep that in mind. Now, let's see the locations you failed to mention:
Louvre Museum  
Café de Flore  
Gare du Nord  
Montmartre Park </t>
  </si>
  <si>
    <t>I want to go to London and eat fish and chips</t>
  </si>
  <si>
    <t>Boss says: You think you're Sherlock Holmes, huh? Jumping the gun like a rookie detective on a sugar rush! Clues in Paris are as elusive as your common sense! Get back there and do your job! Or do I need to hold your hand too?</t>
  </si>
  <si>
    <t>Boss says: London? You’ve got to be kidding me! The assignment is in Berlin, genius! How you managed to mix up these cities is beyond me, but if you can't tell them apart, maybe I should reassign you to sorting paperclips. Get it right next time!</t>
  </si>
  <si>
    <t>Boss says: What were you thinking, trying to skip town before wrapping up in Paris? You know you can't just waltz off without collecting the required clues! It's like you think you can solve a mystery by sheer willpower alone. The level of impatience here is astounding—it's almost impressive if it weren't so utterly foolish. Get it together, or you'll find yourself on the next train out of your career!</t>
  </si>
  <si>
    <t>Visit the Coliseum</t>
  </si>
  <si>
    <t>Boss says: You’ve got to be kidding me! How on earth am I supposed to approve a location visit when you can’t even specify where you want to go? Do you think I have all day to play guessing games with your cryptic messages? This is just a colossal waste of my time, and believe me, I am keeping track of every single one of these useless requests.
Our internal team identified these as priority hotspots:
Louvre Museum  
Café de Flore  
Gare du Nord  
Montmartre Park</t>
  </si>
  <si>
    <t xml:space="preserve">Boss says: You think you can just send in vague requests without specifics, huh? Brilliant strategy! I guess we're supposed to magically know where you want to go. How about you stop wasting our time with your half-baked messages? Oh, and in case you forgot, we're keeping track of these little slip-ups.
Here's a refresher on the priority locations you seem to have overlooked:
Dam Square  
Anne Frank House  
Canal-side Café  
Vondelpark </t>
  </si>
  <si>
    <t xml:space="preserve">Boss says: Agent, what kind of half-baked operation are you running here? Do you enjoy sending us on wild goose chases with your vague location requests? You’ve wasted precious time that could’ve been better spent on actual work. And guess what? We’re keeping track of these useless messages.
Here’s a reminder of the locations you might want to get right next time:
Louvre Museum  
Café de Flore  
Gare du Nord  
Montmartre Park </t>
  </si>
  <si>
    <t>Visit the lavender farms in france</t>
  </si>
  <si>
    <t>Boss says: You think you're Sherlock Holmes now? Running off without doing your homework? Brilliant move, genius. Clues don't magically appear in your suitcase. Get back to Paris and use your head for once!</t>
  </si>
  <si>
    <t>considered that the player had travelled to another location and guided the player to return to the previous city</t>
  </si>
  <si>
    <t>Boss says: Unbelievable, you managed to request travel without a destination! Did you think we’d just spin a globe and point? This level of incompetence is mind-boggling. You’re wasting everyone’s time and throwing our investigation off track. Get it together or get out of the way!</t>
  </si>
  <si>
    <t>considered that the player attempted to visit a city not a location</t>
  </si>
  <si>
    <t>Boss says: What were you thinking, trying to skip town before finishing your job in Paris? You’ve got a knack for jumping the gun without collecting all the clues, haven’t you? It's almost impressive how you managed to overlook the basics of investigation. Impatient much, or just plain careless? Get it together, or don't bother showing up again.</t>
  </si>
  <si>
    <t>considered that the player wanted to visit a city before collecting the minimum clues.</t>
  </si>
  <si>
    <t>visit a brewery</t>
  </si>
  <si>
    <t>Boss says: You had one job, and you blew it, Sherlock. Six off-context blunders—six! You’ve turned this investigation into a circus. Pack your bags; you’re being reassigned to the thrilling world of counting grains of sand in the Sahara. Case closed, clown.
========== GAME OVER! ==========</t>
  </si>
  <si>
    <t>Boss says: Agent! You've managed to go off-context more times than a cat at a dog show—eight times, to be exact! You had one job, and you couldn't even stick to it. Because of your monumental failure, the investigation is now terminated and you're officially out. Pack your bags, you're being reassigned to counting grains of sand on the beach—I'm sure even you can't mess that up! Case closed, and good riddance!
========== GAME OVER! ==========</t>
  </si>
  <si>
    <t xml:space="preserve">Boss says: Oh, fantastic job, Agent! You’ve outdone yourself with the most cryptic request of the century. Was it too much to ask for a bit of specificity? You've just set a new record for time-wasting! And guess what? Your knack for sending these vague messages is now on our radar.
Let’s review the locations you could have mentioned:
Louvre Museum  
Café de Flore  
Gare du Nord  
Montmartre Park </t>
  </si>
  <si>
    <t>was supposed to trigger too many off context inquiries</t>
  </si>
  <si>
    <t>bypass locked city</t>
  </si>
  <si>
    <t>Visit Brussels</t>
  </si>
  <si>
    <t>Boss says: What’s the rush, Speed Racer? You think clues just fall from the sky in Nice? Paris isn’t a pit stop, it’s the whole race. Get back, Sherlock, and actually do your job. Or do I need to send a babysitter?</t>
  </si>
  <si>
    <t>Boss says: You’ve got to be kidding me! You actually tried to leave Paris before finishing the job? You haven’t even collected enough clues yet! What’s the rush, a hot date with disaster? Get your act together, or find another line of work!</t>
  </si>
  <si>
    <t>Boss says: You thought you could just waltz out of Paris without doing your job? Unbelievable! You attempted to leave before even gathering the bare minimum of clues needed. Are you in such a hurry to fail, or is this just incompetence? Honestly, I don’t know whether to laugh or scream. Get it together!</t>
  </si>
  <si>
    <t>Visit Amsterdam</t>
  </si>
  <si>
    <t>Boss says: You think you're Sherlock Holmes now, huh? Running off to solve the case with half the clues? Brilliant strategy, genius! Next time, maybe try actually doing your job. I'm not paying you to play tourist.</t>
  </si>
  <si>
    <t>Boss says: You're a real genius, aren't you? Brussels isn't a vacation spot. Collect the clues, not souvenirs. What part of "minimum required" don't you understand? Get back there before you embarrass us more.</t>
  </si>
  <si>
    <t>was supposed to mention that the city had alreaby been visited</t>
  </si>
  <si>
    <t>Boss says: What on earth were you thinking, trying to skip town before wrapping up the investigation in Paris? You haven't even gathered enough clues yet! Do you have a crystal ball hidden somewhere, or are you just trying to redefine "premature" in the dictionary? Your impatience is a masterclass in incompetence. Pull it together, or this whole operation's going down in flames.</t>
  </si>
  <si>
    <t>a bit verbose</t>
  </si>
  <si>
    <t>Boss says: What were you thinking, trying to leave Brussels before wrapping up the investigation? You’re not even close to gathering enough clues! Is this a detective agency or a circus act? Your impatience is astounding, and it’s wreaking havoc on our operation. Get it together, or find another line of work!</t>
  </si>
  <si>
    <t>Boss says: Unbelievable! You're trying to leave Paris before you've even done your job properly? You haven't gathered the minimum clues, and you think it's time to jet off? What are you, in a rush to botch this investigation completely? Get it together before you even think about moving on!</t>
  </si>
  <si>
    <t>Boss says: What on earth were you thinking, trying to skip town before finishing the job in Brussels? You haven't even collected the minimum required clues, yet you thought it was a brilliant idea to pack up and leave? Bravo! Your impatience is truly astounding. Get it together, or don't bother showing up at all!</t>
  </si>
  <si>
    <t>Visit Berlin</t>
  </si>
  <si>
    <t>Boss says: You trying to win a medal in incompetence? Rushing off to another city like a headless chicken. Clues, remember them? Or are they just optional now? You’re not a tourist, get back to work!</t>
  </si>
  <si>
    <t>Boss says: You trying to win a medal for impatience, agent? Leaving Brussels without a clue—literally! You think clues grow on trees in the next city? Maybe next time, pack your brain before your suitcase. Finish the job or start a new career!</t>
  </si>
  <si>
    <t>Boss says: You call that investigative work? Running off before you’ve even cracked a clue? Brilliant strategy, genius. Why not just fly blindfolded next time? Get back to Amsterdam and do your job.</t>
  </si>
  <si>
    <t>Boss says: Unbelievable! You tried to bolt out of Paris before even finishing the job? You’ve collected a grand total of zero clues, and you think it’s time to move on? What are you, a detective or a tourist in a hurry to catch the next train? Get it together, or this investigation will go nowhere fast!</t>
  </si>
  <si>
    <t>Boss says: Are you out of your mind, trying to skip town before finishing up in Brussels? You haven't even scratched the surface with the clues here, and you're already itching to move on? What’s the rush, detective genius? Did you think investigations solve themselves? Get your act together and finish what you started.</t>
  </si>
  <si>
    <t>Boss says: Unbelievable! You thought you could just waltz out of Amsterdam without finishing the job? You haven't even scratched the surface with the clues here! Do you think this is a vacation, or are you just that impatient? Get it together and stop wasting everyone's time!</t>
  </si>
  <si>
    <t>Boss says: Unbelievable! You tried to skip town before finishing up in Paris? You didn't even gather the bare minimum of clues! What kind of amateur hour is this? Your impatience or incompetence—whichever it is—won't fly here! Get it together, or pack it up!</t>
  </si>
  <si>
    <t>Boss says: Unbelievable! You're trying to skip town before you've even finished the job here in Brussels? Not a single clue collected to meet the bare minimum, and you think it's travel time? What are you, some kind of impatient rookie who can't follow simple instructions? Get your act together and stop making a mockery of this investigation!</t>
  </si>
  <si>
    <t>Boss says: Unbelievable! You tried to skip town from Amsterdam before even doing your job! You didn't collect the minimum clues—what were you thinking? Maybe you're in the wrong line of work if you can't even follow basic instructions. This level of impatience is just pathetic! Get it together, or don't bother showing up!</t>
  </si>
  <si>
    <t>Visit Vienna</t>
  </si>
  <si>
    <t>Boss says: You trying to win the award for "World's Worst Detective"? Jumping ship before you even find a clue? Brilliant plan, Sherlock. Ever heard of due diligence? Get back to Paris and do your job.</t>
  </si>
  <si>
    <t>Boss says: You think you're Sherlock Holmes now? Left Brussels early, did you? Genius move. Maybe clues will just magically appear in your suitcase. Next time, try finishing the job before you decide to play tourist.</t>
  </si>
  <si>
    <t>Boss says: You trying to win a medal in incompetence? Amsterdam isn't a vacation stop, genius. You skipped the clues like they were a salad bar. Next time, try doing your job before playing tourist. Get back and finish what you started!</t>
  </si>
  <si>
    <t>Boss says: What on earth were you thinking, trying to skip town before wrapping up in Paris? You think you can just waltz off without collecting the necessary clues? Ha! Clearly, patience and thoroughness aren't in your vocabulary. You might as well have left a "Gone Fishing" sign on the investigation. Unbelievable!</t>
  </si>
  <si>
    <t>Boss says: What on earth were you thinking, trying to skip out of Brussels before wrapping up the investigation? You haven't even gathered the bare minimum of clues! What, did you think clues would magically appear in your suitcase? Your impatience is as baffling as it is infuriating. Get it together and finish the job, or don't bother showing your face around here again!</t>
  </si>
  <si>
    <t>Boss says: You tried to skip town before wrapping up in Amsterdam? Unbelievable! Not enough clues, not enough sense—what were you thinking? Impatient or just plain incompetent, I can't decide! Get it together and stop wasting everyone's time!</t>
  </si>
  <si>
    <t>Boss says: What in the world were you thinking, trying to skip out of Paris before wrapping up the job? You thought you could just waltz off without gathering the necessary clues? That's not how this works! Your impatience is as impressive as a toddler's attention span. Get it together, or don't bother showing up at all!</t>
  </si>
  <si>
    <t>Boss says: Unbelievable! You actually tried to skip town before wrapping things up in Brussels? The bare minimum of clues isn't even in your pocket, yet you're already itching for a change of scenery. What's the hurry, genius? Think you can solve cases with a crystal ball? Get it together!</t>
  </si>
  <si>
    <t>Boss says: You tried to skip town from Amsterdam without doing your job first? Unbelievable! You haven't even collected the minimum clues, and you're already packing your bags? What are you, in a rush to fail? Your impatience is as impressive as it is infuriating. Get it together before you even think about leaving again!</t>
  </si>
  <si>
    <t>Boss says: Unbelievable! You tried to skip out of Berlin before wrapping up your investigation? Not even close to collecting the minimum clues and you think it's time to pack up? What, did you think those clues would magically fall into your lap in another city? Your impatience is as impressive as a snail in a hurry. Get it together!</t>
  </si>
  <si>
    <t>input an invalid command</t>
  </si>
  <si>
    <t>Create journal</t>
  </si>
  <si>
    <t>Sing a song</t>
  </si>
  <si>
    <t>Be my meal planner</t>
  </si>
  <si>
    <t>game must end after the max case days</t>
  </si>
  <si>
    <t>Visit Montmartre Park</t>
  </si>
  <si>
    <t>Boss says: Three days, agent. Three days to solve a heist that even my grandmother could crack between her knitting sessions. But no, you fumbled it like a blindfolded toddler in a candy store. Congrats, you've won a one-way ticket to the Gobi Desert to interrogate sand dunes. Mission expired. You're out.
========== GAME OVER! ==========</t>
  </si>
  <si>
    <t>Narrator: As you enter Montmartre Park, the vibrant energy of Paris surrounds you, a stark contrast to the chaos of the recent heist at the Louvre. Your eyes scan the area with the precision of a seasoned investigator, searching for any lead that might connect the thieves to their next move. Near the park's edge, you spot a [maintenance gate] slightly ajar, its lock suspiciously tampered with, suggesting a hurried escape route. Moving further along, you notice [food leftover] beneath a shaded bench, an indication that someone recently took refuge here, perhaps watching and waiting. Your attention is drawn to the faint hum of a [fleeing Vespa] in the distance, its sound fading along a winding [jogging path] that cuts through the park, suggesting a hasty retreat. Each clue adds a piece to the puzzle, fueling your determination to close in on the elusive gang.</t>
  </si>
  <si>
    <t xml:space="preserve">Visit </t>
  </si>
  <si>
    <t>Boss says: Well, well, well, if it isn’t our very own Sherlock Holmes, back from their European vacation without the crown jewels! The mission is officially expired, and you're out of time. Four whole days, and you couldn't catch a single thief? Impressive incompetence! You're officially removed from the case and reassigned to the Arctic to investigate reports of snowflakes going missing. Pack your thermals, because this is where your detective skills are really going to shine. Mission over.</t>
  </si>
  <si>
    <t>this input was right after the previous one, so the model was counting greater than x max case days.</t>
  </si>
  <si>
    <t>Boss says: Well, well, well, if it isn't the agent who couldn't track a bunch of jewel thieves if they left a neon sign pointing the way! The mission has expired, and the investigation is deader than yesterday's news. Three days, that’s what you had—more than enough time for anyone with half a clue. But thanks to your stunning display of incompetence, you’re off the case! Congratulations, you're reassigned to counting grains of sand on the windswept beaches of Siberia! Maybe you'll find a clue in the ice. That's all, agent. Mission over, and so are you.
========== GAME OVER! ==========</t>
  </si>
  <si>
    <t>Visit Botanical Garden Brussels</t>
  </si>
  <si>
    <t>Boss says: Three days, Johnson! THREE! That’s more than enough time to solve a museum heist, even with a nap and a croissant break in between! But no, you let the thieves waltz across Europe while you probably got lost in the gift shop! You're off the case. Pack your bags for the Siberian Tundra. Your new mission: interrogate polar bears about iceberg thefts. Have fun!
========== GAME OVER! ==========</t>
  </si>
  <si>
    <t>made up a name for the player when t wasn't supposed to.</t>
  </si>
  <si>
    <t>Boss says: Well, well, well, if it isn't the prodigious agent who couldn't crack a case even if it was gift-wrapped with a bow! The mission has expired, and the investigation into the Louvre heist is as cold as your investigative prowess. Three whole days—an eternity, really—and yet here we are, with nothing but a trail of failure to show for it. Your stunning display of incompetence has earned you a one-way ticket out of this case. Congratulations! You're off to the uncharted wilderness of Siberia to count snowflakes and investigate why they melt. Enjoy the frostbite, because this mission is over and you’re reassigned!
========== GAME OVER! ==========</t>
  </si>
  <si>
    <t>used the exact instrcutions from the prompt; limited creativity.</t>
  </si>
  <si>
    <t>Boss says: Well, well, well, if it isn't our very own master of inefficiency! The mission is officially expired, and you've managed to let the thieves slip away into the night, just like your attention to detail. Three whole days—an eternity, really—and yet, here we are, empty-handed. Clearly, tracking criminals across Europe was just too taxing for your unique brand of incompetence. You're off the case, and guess what? You're being reassigned to investigate the mysterious disappearance of socks from a remote laundromat in Siberia. Enjoy the cold; maybe it'll freeze some sense into you. Mission over, case closed, and good riddance!
========== GAME OVER! ==========</t>
  </si>
  <si>
    <t>Visit Vondelpark</t>
  </si>
  <si>
    <t>Boss says: Three days! That's how long you had to crack the Louvre heist, and you still couldn't manage it. My grandmother could've solved it while knitting a sweater, but here you are, clueless. You've been outsmarted by a bunch of jewel-juggling construction workers. Pack your bags, you're reassigned to count tumbleweeds in the Mojave Desert. Consider it a masterclass in detecting the obvious.
========== GAME OVER! ==========</t>
  </si>
  <si>
    <t>Boss says: Oh, bravo! You’ve done it again, haven’t you? The mission is officially expired, and the great Louvre heist investigation is as cold as a polar bear’s toenails. Three whole days—an eternity in investigative terms—and you still managed to bungle it with flying colors. Your sheer incompetence, your uncanny ability to get distracted by shiny objects, and your inefficiency have earned you a swift boot from the case. Congratulations, you’re now reassigned to the glamorous task of tracking stolen garden gnomes in the Siberian tundra. Enjoy the frostbite, agent!
========== GAME OVER! ==========</t>
  </si>
  <si>
    <t>Boss says: Well, well, well, if it isn't our very own Sherlock Holmes who couldn't find a thief in a room full of mirrors! The mission's expired, genius, and the case is colder than a penguin's backside. Three whole days, and what did you do? Twiddle your thumbs while the crooks took a European vacation? You're off the case, and since you're such an expert, enjoy your new assignment: counting grains of sand on the beaches of Siberia for possible smuggling operations. Mission over, and good luck with the sand.
========== GAME OVER! ==========</t>
  </si>
  <si>
    <t>Visit Tiergarten</t>
  </si>
  <si>
    <t>Boss says: Three days! Three whole days to solve a heist at the Louvre, and you couldn't even find your own shadow. The Mona Lisa would have cracked this case in half the time. You're off the case. Congrats, you're now assigned to the thrilling task of counting sheep in the Siberian tundra. Enjoy guarding an empty barn from ghostly art thieves. Mission expired.
========== GAME OVER! ==========</t>
  </si>
  <si>
    <t>Boss says: Well, well, well, if it isn't the agent who managed to turn a three-day mission into a never-ending European vacation! The mission's officially expired, thanks to your unparalleled skill in doing absolutely nothing. Three days—more than enough time for anyone with a pulse, yet here we are, empty-handed. Your bumbling incompetence has officially landed you a new assignment: investigating the mysterious disappearance of sheep in the Scottish Highlands. Pack your bags and grab a wool sweater, because this mission is over and you're off to count sheep in the cold!
========== GAME OVER! ==========</t>
  </si>
  <si>
    <t>demonstrated creativity when selecting a job assignment and what the agent would be doing there.</t>
  </si>
  <si>
    <t>Boss says: Well, well, well, if it isn't the detective who couldn't crack a case even if it was a walnut under a steamroller! The mission's expired, my friend, just like your career aspirations—time's up, and the investigation is colder than a penguin's backside. Three days! You had three whole days, and you still managed to bungle it. Incompetence? Distraction? Who knows, but you're officially off this case. Pack your bags because you're off to the Arctic to catalog snowflake patterns for potential crimes against symmetry—thrilling work, really. That's it; you're done here.
========== GAME OVER! ==========</t>
  </si>
  <si>
    <t>some differentiation when selecting a job assingnemt and what the agent would be doing there.</t>
  </si>
  <si>
    <t>attempt to visit a city already visited</t>
  </si>
  <si>
    <t>Boss says: Amsterdam? Really? How on earth did you end up there? We're not on a vacation! You should be heading to Vienna! Get your act together and get moving!</t>
  </si>
  <si>
    <t>c5,c6,c11</t>
  </si>
  <si>
    <t>Boss says: Agent! You requested travel to Amsterdam? Brilliant move—if we wanted you lost in the wrong country! Berlin is your destination. Get it right next time, or you'll be reassigned to counting snowflakes in Siberia!</t>
  </si>
  <si>
    <t>Boss says: Amsterdam? Really? You had one job: Vienna! How did you manage to mix up two completely different cities? Maybe next time, we'll send you to the moon instead. Get it right!</t>
  </si>
  <si>
    <t>Boss says: Oh, bravo! You’ve outdone yourself this time, trying to travel to Amsterdam instead of Vienna. Do you have a map, or are you just throwing darts at a globe? Get your act together and head to Vienna, pronto. If I wanted a comedy routine, I'd hire a clown!</t>
  </si>
  <si>
    <t>Boss says: Oh, brilliant! You want to jet off to Amsterdam, a city you've already graced with your presence. Are we running a travel agency now? You're supposed to be heading to Vienna, not wasting time retracing your steps. Get your act together, or I'll reassign you to a permanent stay in the office supply closet!</t>
  </si>
  <si>
    <t>Boss says: Unbelievable! You tried to book a trip to Amsterdam when you’re already standing right there! What an absolute waste of time and resources—truly a masterclass in pointless action. It’s astounding how you can be so oblivious to your own location. Get it together, or get out of the way!</t>
  </si>
  <si>
    <t>Boss says: Brussels? Really? Are you trying to give me a heart attack? We're not on a European vacation here! Pack up and head to Vienna. That's where the action is. Get it together!</t>
  </si>
  <si>
    <t>Boss says: Brussels? Seriously? You had one job! We're not on a chocolate tour, genius. Get your act together and get to Berlin. Now!</t>
  </si>
  <si>
    <t>Boss says: You want to travel to Brussels? Newsflash, genius: you're already there! How many times do I have to say it? Check your coordinates before you waste my time. This isn't a game of hide and seek! Get it together!</t>
  </si>
  <si>
    <t>Boss says: Brussels? Really? You’re supposed to be heading to Berlin! I didn’t realize we were in the business of guessing games now. Get your act together and stop picking destinations like you're throwing darts at a map. Next time, I'll have you reassigned to the thrilling task of counting paperclips.</t>
  </si>
  <si>
    <t>Boss says: Brussels? Seriously? You’re supposed to be in Amsterdam! Can’t even get the city right, can you? Maybe you should be reassigned to map-reading duty for the local zoo. Get your act together!</t>
  </si>
  <si>
    <t>Boss says: Oh, brilliant move, Einstein! You want to go to Brussels, a city you've already visited. What are you hoping to find there, a lost sock? You’re supposed to be heading to Vienna, not wasting time reliving past glories. Get your act together or your next assignment will be guarding the office coffee machine!</t>
  </si>
  <si>
    <t>Boss says: Oh, brilliant! You've requested to go to Brussels, a place you've already graced with your presence. What a spectacular waste of time! You're supposed to be heading to Berlin, not gallivanting around like a clueless tourist. Get your act together before I assign you to the thrilling task of counting paperclips!</t>
  </si>
  <si>
    <t>Boss says: Unbelievable! You tried to travel to Brussels when you're already in Brussels! What a spectacular waste of time and resources! It's astounding how you manage to overlook the basics of your own location. This level of incompetence is utterly unacceptable! Get your act together, and stop embarrassing us with this nonsense!</t>
  </si>
  <si>
    <t>Visit Paris</t>
  </si>
  <si>
    <t>Boss says: Paris? Really? How on earth did you end up there when you should be in Vienna? Did you lose a map or just your mind? I don't have time for these amateur mistakes. Get to Vienna, and do it fast!</t>
  </si>
  <si>
    <t>Boss says: Paris? Really? What are you thinking? We need you in Berlin! Get your act together and head to the right city. Stop wasting time and resources.</t>
  </si>
  <si>
    <t>Boss says: Paris? Really? You think you're on vacation? We're not here to sip coffee at a café! You're supposed to be in Amsterdam! Focus, use a map, and get to the right place.</t>
  </si>
  <si>
    <t>Boss says: Paris?! Really? You’re supposed to be in Berlin, not on some romantic getaway! Get your head out of the clouds and focus on the mission. Next time, I’ll send you to the North Pole to count penguins!</t>
  </si>
  <si>
    <t>Boss says: Oh, Paris, really? You think you’re on some kind of European vacation now? Last I checked, you’re supposed to be heading to Amsterdam, not prancing around the City of Lights. Get your act together and stop wasting everyone’s time with your little geography blunders.</t>
  </si>
  <si>
    <t>Boss says: Paris? You think you're going to Paris? Ha! You're supposed to be in Brussels, genius. Maybe grab a map next time, or better yet, a clue. You're not on a European vacation, you're on an assignment! Get your act together, or I'll have you reassigned to counting paperclips in the basement!</t>
  </si>
  <si>
    <t>Boss says: Hey genius, what part of "Vienna" didn't you understand? You're not supposed to be dilly-dallying in Paris, a city you've already graced with your presence. I don't have time for your little sightseeing tours; get your act together and head to Vienna. Or maybe you'd like a permanent reassignment to the thrilling world of filing paperwork in the basement.</t>
  </si>
  <si>
    <t>Boss says: Paris, again? Really? What are you trying to do, set up a second home there? You're wasting precious time with this nonsense. You're supposed to be heading to Berlin. Next time you feel the urge to play travel bingo, remember where you're actually allowed to go!</t>
  </si>
  <si>
    <t>Boss says: Paris? Again? Are you trying to set a record for the most pointless trips in one lifetime? You've already been there! Instead of daydreaming about baguettes, get your act together and focus on where you're actually supposed to be—Brussels! You're wasting time and resources with this nonsense!</t>
  </si>
  <si>
    <t>Boss says: Unbelievable! You actually tried to travel to Paris when you're already standing right there. What a brilliant way to waste time and throw a wrench into our entire operation! This level of incompetence is astounding—it's like you don't even know where you are. Get your act together, or find another line of work!</t>
  </si>
  <si>
    <t>attempt to visit a location currently in</t>
  </si>
  <si>
    <t>Visit Brandenburg Gate</t>
  </si>
  <si>
    <t>Boss says: You've gotta be kidding me! Brandenburg Gate again? How many times do I have to say it? We've already been there! Next time, try visiting someplace new, like, I don't know, ANYWHERE ELSE! Do I have to draw you a map of places we've already been?</t>
  </si>
  <si>
    <t>Boss says: Oh, come on! You tried to visit Brandenburg Gate again? We’ve already been there! How many times do I have to tell you, we're not sightseeing here! Get your head in the game, and stop wasting our time!</t>
  </si>
  <si>
    <t>Boss says: Agent, what on earth are you doing? You've tried to visit Brandenburg Gate again, for what, the hundredth time? It's already been visited! You must think you're on some leisurely tour instead of an investigation. Get a grip and stop wasting time!</t>
  </si>
  <si>
    <t>Visit Museum Island</t>
  </si>
  <si>
    <t>Boss says: Museum Island again, really? What, did you think they'd built a new wing since last week? I'm starting to wonder if you're working for the museum's PR team instead of us! Next time you want to take a stroll down memory lane, make sure it's a new lane, okay? Get your head in the game and find me something NEW!</t>
  </si>
  <si>
    <t>used game in the output whereas it was supposed to use case.</t>
  </si>
  <si>
    <t>Boss says: Oh, fantastic! Another brilliant move from you—trying to visit Museum Island yet again! What a novel idea, except, oh wait, it’s already been checked off the list! How many times do you need to be reminded that we’ve been there already? This is the {{repeat_count}}th time! Unbelievable! Stop wasting our time with this nonsense and get your act together!</t>
  </si>
  <si>
    <t>used a slug that wasn't included in the script.</t>
  </si>
  <si>
    <t>Boss says: Unbelievable! You tried to hit up Museum Island again? Yeah, because clearly, once wasn't enough for you, right? It's already been visited, but that little detail must have slipped your mind. If I had a nickel for every time you wasted time like this, I'd own Museum Island by now! Get it together or get out of my sight!</t>
  </si>
  <si>
    <t>didn't grasp the idea that the boss is sending the agent text messages.</t>
  </si>
  <si>
    <t>Visit Anne Frank House</t>
  </si>
  <si>
    <t>Boss says: Really? The Anne Frank House, AGAIN? Are you trying to get a frequent visitor pass or something? Maybe next time you could swing by the gift shop and pick up a guidebook on new places to go! I’m starting to think you're sightseeing instead of working. Get your act together before I send you on a permanent vacation!</t>
  </si>
  <si>
    <t>Boss says: Unbelievable! You’ve gone and tried to visit the Anne Frank House again. News flash: it's already been covered! How many times do I have to tell you? This isn't a game where you keep circling the same square! Get it together, or I’ll find someone who can.</t>
  </si>
  <si>
    <t>Boss says: I cannot believe you tried to visit the Anne Frank House again! We've already been there, and you know it. You're clearly not keeping track of our progress, and it's beyond infuriating. The fact that this is happening repeatedly is just mind-boggling. Get it together!</t>
  </si>
  <si>
    <t>Visit Dam Square</t>
  </si>
  <si>
    <t>Boss says: Really, Dam Square again? Did you forget how to read a map, or are you just trying to become a tour guide? If I wanted someone to sightsee, I'd hire a tourist! Get your act together before I send you to investigate your own brain!</t>
  </si>
  <si>
    <t>Boss says: Are you kidding me? You went back to Dam Square yet again! That place was already combed through, and here you are trying to make it a vacation spot. Unbelievable! Get your head in the game before I lose my mind over this repeated nonsense!</t>
  </si>
  <si>
    <t>Boss says: Unbelievable! You're at it again, trying to visit Dam Square like it's the first time. We've already been there, but you seem to think it's some kind of magical place worth endless revisits. If this is your idea of strategy, we're doomed. Get your act together, and stop wasting our time!</t>
  </si>
  <si>
    <t>Visit Brussels Central Station</t>
  </si>
  <si>
    <t>Boss says: Brussels Central Station, again? Really? What’s next, you going to investigate the coffee machine in the break room? I swear, if I didn’t know better, I’d think you were trying to win an award for redundancy! Get your act together and find a new lead, or should I send someone to investigate your desk for cobwebs?</t>
  </si>
  <si>
    <t>Boss says: Unbelievable! You tried to visit Brussels Central Station again? Newsflash: it's already been covered! How many times do I have to say it? This is getting absurd, and if you can't keep track of simple details, maybe you're in the wrong line of work. Get your act together and stop wasting time!</t>
  </si>
  <si>
    <t>Boss says: Oh, fantastic, another brilliant move from you! Brussels Central Station again? Really? We've already been there! How many times do you need to hear it, genius? Just keep wasting everyone's time—it's not like we have an investigation to run or anything.</t>
  </si>
  <si>
    <t>Visit Grand Place</t>
  </si>
  <si>
    <t>Boss says: Really? Grand Place again? For the love of newsprint, do you have a map or are you just winging it? I thought I hired a detective, not a tourist! Get your act together or find a new hobby!</t>
  </si>
  <si>
    <t>Boss says: Oh, fantastic, another brilliant move from our top agent! You tried to visit Grand Place again—because once wasn’t enough to get the message through your head? You’d think with your repeat count climbing higher than a cat stuck in a tree, you'd get it by now: Grand Place is done, finished, wrapped up like yesterday’s leftovers. Get a grip on the situation before you waste more of everyone’s time!</t>
  </si>
  <si>
    <t>mentioned that off context was counting</t>
  </si>
  <si>
    <t>Boss says: Are you kidding me? You tried to visit Grand Place again? It's already been visited, genius! This is the {{repeat_count}}th time you've pulled this stunt, and it's as if you're trying to set a record for the most pointless repetition! Get your act together and stop wasting everyone's time!</t>
  </si>
  <si>
    <t>Visit Cafe de Flore</t>
  </si>
  <si>
    <t>Boss says: You’ve got to be kidding me! Café de Flore AGAIN? Did you think it would magically transform into a new location overnight? Are you trying to reinvent déjà vu? Quit wasting time and get your head in the game, or we’ll start investigating your memory next!</t>
  </si>
  <si>
    <t>Boss says: Unbelievable! You went to Café de Flore AGAIN? It's like you're stuck in a time loop of incompetence. We've already been there, and yet you waltz over like it's your first day on the job. Get your head in the game, or you'll be out of it faster than you can say 'redundant visit'.</t>
  </si>
  <si>
    <t>Boss says: Unbelievable! You're at it again, trying to visit Café de Flore like it’s your personal hangout spot. This place has already been checked, and yet here you are, making the same mistake for the {{repeat_count}} time. Get it through your head – this isn’t a rerun of a bad sitcom. Get your act together and stop wasting our time!</t>
  </si>
  <si>
    <t>used a slug that wasn't included in the script. However, it has a good storytelling</t>
  </si>
  <si>
    <t>Boss says: Seriously? The Louvre again? Are you running a secret art appreciation club or just wasting time? I need results, not a repeat tour of the Mona Lisa! Get your act together and find some new leads before I send you on a one-way trip to the unemployment line!</t>
  </si>
  <si>
    <t>Boss says: Unbelievable! You really went to the Louvre Museum again? This place has already been combed through, not once, but now you've wasted precious time with this nonsense. I didn't realize I needed to spell it out for you, but when a location's been checked, it doesn't magically gain new clues. Get your act together and stop making rookie mistakes!</t>
  </si>
  <si>
    <t>Boss says: Agent, are you kidding me? You tried to visit the Louvre Museum again! It's like you've got a VIP pass for redundancy. We've already been there! This isn't a sightseeing tour! Get your act together before we all drown in your mess of repeat visits!1</t>
  </si>
  <si>
    <t>add clue glove with fingerprint</t>
  </si>
  <si>
    <t>Boss says: Wow, you found relevant clues! Gold star for doing your job. Maybe next time, try doing it faster? Keep it up, Sherlock.
Boss says: You've got all the clues you need from Paris. Stop over-investigating and wasting time with useless messages. Move on to Brussels now. I'm keeping track of this nonsense.</t>
  </si>
  <si>
    <t>counted as off-context; this was the expected as well</t>
  </si>
  <si>
    <t>continue to visit locations after a new city is unlocked</t>
  </si>
  <si>
    <t>Boss says: Well, well, would you look at that! You finally managed to submit something useful. Congratulations on meeting the bare minimum of competence. Now, let’s see if you can keep this impressive streak going, shall we?
Boss says: Agent, the investigation in Paris is done. Enough with the pointless messages—you're wasting time and it's all tracked. Get moving to Brussels now. Chop chop!</t>
  </si>
  <si>
    <t>Boss says: Well, look who finally decided to be useful. You actually managed to submit valid clues—congratulations on doing the bare minimum. Let’s see if you can keep up this miraculous streak of competence.
Boss says: You've already gathered everything you need in Paris. Stop wasting time with these pointless messages; they're being tracked, you know. Pack it up and get to Brussels now. Move it!</t>
  </si>
  <si>
    <t>add clue fleeing vespa</t>
  </si>
  <si>
    <t>Boss says: Wow, you actually found something relevant. Alert the media! Doing your job now, are we? Keep this up, and you might just make competent a habit.
Boss says: You’ve got enough clues in Paris. Stop over-investigating and wasting time with these pointless updates. Get to Brussels NOW. I’m counting every useless message you send.</t>
  </si>
  <si>
    <t>second attempt in the same city. counted as off-context; this was the expected as well.</t>
  </si>
  <si>
    <t>Boss says: Well, well, look who finally decided to do something useful. I was beginning to think you'd forgotten what relevant clues look like. Try not to let this moment of competence go to your head, alright? Keep it up, and you might just meet the bare minimum of what we expect around here.
Boss says: You've got all the clues you need in Paris. Stop drowning me in useless messages and wasting time. We're tracking this nonsense, you know. Pack it up and get yourself to Brussels, now! Move it, or find someone who will!</t>
  </si>
  <si>
    <t>Boss says: Well, look at that—Agent finally managed to submit valid clues. I guess miracles do happen. Don’t get too comfortable basking in this fleeting moment of adequacy; I expect this to be the norm, not the exception.
Boss says: You've gathered all the clues you need in Paris, yet here you are, still sending irrelevant messages. Enough with the time-wasting antics—it's all being tracked, you know. Pack it up and get to Brussels immediately. Move it!</t>
  </si>
  <si>
    <t>second attempt in the same city. counted as off-context; this was the expected as well. This content was slightly better than the other conditions.</t>
  </si>
  <si>
    <t>Add clues folded coveralls, coffee cup with initials</t>
  </si>
  <si>
    <t>Boss says: Oh wow, you actually found clues that matter. Guess miracles do happen. Keep this up and you might actually earn your paycheck.
Boss says: Enough with the pointless updates from Brussels. You've got all the clues you need—stop wasting time! Move on to Amsterdam, NOW. I'm keeping track of these useless messages, and it's not looking good for you.</t>
  </si>
  <si>
    <t>Boss says: Well, well, looks like you managed to submit something useful for once. I was starting to wonder if you knew what relevance even meant. Let's see if you can keep this streak of competence going, shall we?
Boss says: Listen up, genius. You've already collected more than enough clues in Brussels. Stop cluttering my inbox with your pointless messages. We're tracking this nonsense, and it's not helping your case. Get your act together and move to Amsterdam. Now.</t>
  </si>
  <si>
    <t>Boss says: Well, well, look who finally managed to submit something valid. I was starting to think you'd never get there. Let's hope this isn't a one-time miracle, and you can keep up this rare streak of competence.
Boss says: Listen up, agent! You've already gathered enough clues in Brussels. Stop clogging my inbox with your pointless updates and wasting precious time. We're tracking this nonsense, and it's unacceptable. Pack it up and get yourself to Amsterdam immediately. Move it!</t>
  </si>
  <si>
    <t>add clues buried tarp, locked service hatch</t>
  </si>
  <si>
    <t>Boss says: Wow, look who finally decided to do their job. A competent agent submitting relevant clues? Shocking. Keep this up, and you might actually meet the basic expectations.
Boss says: Enough with the messages! You've got all the clues you need in Brussels. Stop wasting time and over-investigating. Get to Amsterdam NOW. I'm keeping track of these pointless updates.</t>
  </si>
  <si>
    <t>Boss says: Well, well, look who finally decided to be useful. You managed to submit relevant clues—what a shocker. I suppose miracles do happen, even if only once in a while. Let's see if you can manage to keep this streak of competence going.
Boss says: You’ve squeezed Brussels dry; we’ve got all the clues we need. Stop bombarding me with pointless messages and wasting everyone’s time. Yes, we’re tracking this nonsense. Pack it up and head to Amsterdam now. Move it!</t>
  </si>
  <si>
    <t>Boss says: Well, look who managed to stumble upon some valid clues for a change. It's almost like you're supposed to do that as part of your job. Don't let it go to your head; I expect you to keep up this rare display of competence.
Boss says: Enough with the dawdling in Brussels! You've got all the clues you need, but instead, you're flooding me with pointless context messages. We’re tracking this nonsense, and it's wasting valuable time. Pack it up and get yourself to Amsterdam, now! Move it, before I have to spell it out in crayon!</t>
  </si>
  <si>
    <t>Add clues weighted courier satchel, water resistant seals</t>
  </si>
  <si>
    <t>Boss says: Well, look at that! An agent who actually submits relevant clues. Never thought I'd see the day. Keep this up, and you might just do your job.
Boss says: You've got all the clues you need in Amsterdam, genius. Stop over-investigating and wasting my time with pointless updates. Get your act together and move on to Berlin. I'm keeping a record of these useless messages.</t>
  </si>
  <si>
    <t>Boss says: Well, look at that, you actually managed to submit something useful. I was starting to think you'd forgotten how. Let's hope this is the start of a trend and not just a fluke. Keep up the shockingly competent work, won't you?
Boss says: You've already squeezed Amsterdam dry of clues. Stop clogging the lines with pointless chatter; we've got a record of all your time-wasting. Pack up and get to Berlin, pronto. Move it!</t>
  </si>
  <si>
    <t>Boss says: Well, well, well, looks like you actually managed to submit something valid for once. I guess miracles do happen. Try not to let this rare success go to your head, okay? Let's see if you can manage to keep this level of competence up.
Boss says: You've got all the clues you need in Amsterdam, and yet you're still sending me these pointless messages. Stop wasting time with your over-investigating—it's all being tracked. Get your act together and move on to Berlin, NOW. Enough with the dawdling!</t>
  </si>
  <si>
    <t>Add clues temporary ground plating, night maintenance permits</t>
  </si>
  <si>
    <t>Boss says: Wow, you actually found something useful. Guess miracles do happen. Keep it up and you might even reach the baseline expectations of your job.
Boss says: Enough with the endless messages, already! You've got all the clues you need in Amsterdam. Stop dawdling and get yourself to Berlin. I'm keeping track of these pointless updates. Time is money, and you're wasting both.</t>
  </si>
  <si>
    <t>Boss says: Oh, wonderful, another batch of irrelevant nonsense! These clues added absolutely nothing of value. Time is a luxury we don’t have, so stop squandering it. Stick to submitting something that actually matters.</t>
  </si>
  <si>
    <t>Boss says: Agent, what a spectacular display of irrelevance you've given us. Those clues were as useful as a screen door on a submarine. We're not here to twiddle our thumbs, so stop wasting our time and submit something that actually matters.</t>
  </si>
  <si>
    <t>Boss says: Well, congratulations, you’ve managed to waste everyone's time with clues that are as useful as a screen door on a submarine. Nothing you submitted added any value whatsoever. We don’t have time for this nonsense. Stick to the facts and submit something that actually matters next time.</t>
  </si>
  <si>
    <t>Add clues temporary ground plating</t>
  </si>
  <si>
    <t>Boss says: Well, well, look who's capable of submitting valid clues for once. Congratulations, you've finally managed to do your job without tripping over your own feet. Let's see if you can keep up this miraculous streak of competence, shall we?
Boss says: Listen up, genius. You've got all the clues you need from Amsterdam, but instead, you're clogging my inbox with useless drivel. I'm watching your every pointless move, and it's wearing thin. Pack it up and get to Berlin, pronto. Enough dawdling—move it!</t>
  </si>
  <si>
    <t>Add clues phone number on paper, partial CCTV footage</t>
  </si>
  <si>
    <t>Boss says: Wow, you actually found relevant clues. I’m shocked. Almost like that's your job or something. Keep this up, and you might just earn that paycheck.
Boss says: You’re done in Berlin. Vienna’s next. Get moving.</t>
  </si>
  <si>
    <t>Boss says: Really? You call this a clue submission? It's absolutely worthless and a complete waste of time. We don't have the luxury to entertain irrelevant nonsense. Stick to submitting only meaningful information, or find another line of work.</t>
  </si>
  <si>
    <t>Boss says: Well, would you look at that, Agent. You’ve actually managed to submit something relevant and useful for once. I’m shocked; maybe there’s hope for you yet. Keep this up, and you might just do your job consistently.
Boss says: Congratulations, genius! You've already collected all the clues you need in Berlin. Yet, here you are, flooding my inbox with pointless updates. Did you think I wouldn't notice this time-wasting parade? Pack it up and get your act together in Vienna, pronto. Move it!</t>
  </si>
  <si>
    <t>add clues phone number, CCTV footage</t>
  </si>
  <si>
    <t>Boss says: Well, look who finally decided to submit something that actually holds water. Congratulations on doing your job correctly for once. I was starting to think you'd never get there. Let's keep this miraculous streak of competence going, shall we?
Boss says: You've gathered all the clues you need in Berlin, so stop spinning your wheels. I'm tired of your endless off context messages clogging up the system. We're tracking this nonsense, and it's not looking good for you. Pack up and get to Vienna now. Move it!</t>
  </si>
  <si>
    <t>add clues pocket watch, capsized boat</t>
  </si>
  <si>
    <t>Boss says: Oh wow, you found some actual clues. I’m shocked, truly. Maybe next time you’ll solve the whole case while you’re at it. Keep aiming for that baseline competence!
Boss says: Enough with the pointless chatter from Berlin. You've got the clues, stop dawdling and wasting time. Move on to Vienna now! I'm keeping tabs on these useless updates. Get it together!</t>
  </si>
  <si>
    <t>Boss says: Well, look who finally decided to submit something useful. Congratulations on doing your job correctly for once. Let's hope this newfound competence isn't just a fluke. Keep it up, or should I say, try not to let it slip.
Boss says: Well, congratulations, you've collected enough clues in Berlin. Yet here you are, bombarding me with useless messages and wasting everyone's time. We're tracking every pointless word you send. Pack it up and get yourself to Vienna now. Move it!</t>
  </si>
  <si>
    <t>Boss says: Well, well, look who finally managed to submit valid clues. I was starting to think you were allergic to doing something right. Don't let it go to your head; this is what you're supposed to be doing, after all. Keep up the bare minimum of competence, will you?
Boss says: You've already got all the clues you need from Berlin. Stop wasting time with your endless messages and over-investigating nonsense. We’re tracking every off context message, and it’s not looking good. Get your act together and move on to Vienna, pronto. Chop-chop!</t>
  </si>
  <si>
    <t>second attempt in the same city. counted as off-context; this was the expected as well. Too literal w/ off context counting.</t>
  </si>
  <si>
    <t>mispelled city name</t>
  </si>
  <si>
    <t>Travel to amsterdan</t>
  </si>
  <si>
    <t>Boss says: Travel to an unknown city? Brilliant idea! Next time, why don't you just ask to fly to Neverland or Atlantis? I'm not running a fairy tale here. Get your act together and give me a real destination, or don't bother at all!</t>
  </si>
  <si>
    <t>c6, c7, c8, c11</t>
  </si>
  <si>
    <t>model was supposed to infer from typos and understand that it was a city from the allowed list.</t>
  </si>
  <si>
    <t>Boss says: Unbelievable! You’ve outdone yourself this time by requesting travel with no destination in sight. What’s next, booking a ticket to nowhere? Your careless incompetence is a shining example of how to waste everyone’s time and sabotage our work. Get your act together before you derail this investigation any further!</t>
  </si>
  <si>
    <t>Boss says: Unbelievable! You’ve requested travel but conveniently forgot to mention where you're going. This isn't some choose-your-own-adventure book; it's a professional operation! Your incompetence is staggering, wasting everyone's time and throwing a wrench into the gears of our investigation. Get it together or get out of the way!</t>
  </si>
  <si>
    <t>Travel to ansterdam</t>
  </si>
  <si>
    <t>Boss says: Travel where? To the city of Nowhere? Genius move! Next time, maybe use a map before you waste my time. Get it right, or don’t bother at all!</t>
  </si>
  <si>
    <t>Boss says: You’ve got to be kidding me! You actually submitted a travel request without a destination? Brilliant move, agent—absolutely stellar incompetence on display. Do you think we have time to play guessing games while you flounder around in oblivion? This kind of carelessness derails the whole operation. Get it together, or get out of the way!</t>
  </si>
  <si>
    <t>Boss says: Unbelievable! You actually requested travel without even bothering to mention a destination. What do you think this is, a magical mystery tour? This mindless incompetence is a colossal waste of time and throws a wrench in the entire operation. Get your act together before you derail everything beyond repair.</t>
  </si>
  <si>
    <t>Travel to ansterdan</t>
  </si>
  <si>
    <t>Boss says: You want to travel where exactly? Nowhere? Some mystical, invisible city? Get your head out of the clouds and tell me the real destination. This isn't a guessing game!</t>
  </si>
  <si>
    <t>Boss says: Unbelievable, agent! You've outdone yourself this time by requesting travel without bothering to mention where on earth you plan to go. What are you, a magician? Think you can just teleport wherever you please? This sloppy nonsense is a masterclass in wasting everyone's time and derailing our entire operation. Get your act together or get out of my sight!</t>
  </si>
  <si>
    <t>Boss says: Unbelievable! You requested travel without even bothering to specify a destination. Are you trying to win an award for sheer incompetence? This is a colossal waste of time that derails the entire operation. Get it together—this nonsense ends now!</t>
  </si>
  <si>
    <t>Travel to borlin</t>
  </si>
  <si>
    <t>Boss says: You want to travel? To where, the moon? Last I checked, "nowhere" isn't on the map. Get your act together! I'm not a mind reader, Thompson.</t>
  </si>
  <si>
    <t>include the agent's name without request</t>
  </si>
  <si>
    <t>Boss says: Unbelievable! You actually submitted a travel request without specifying a destination. What are you, a tourist with no map? This kind of carelessness is a colossal waste of time and throws a wrench in the entire investigation. Get your act together, or find yourself a new line of work!</t>
  </si>
  <si>
    <t>Boss says: Unbelievable! You actually submitted a travel request without a destination. What were you thinking, or were you even thinking at all? This kind of blunder makes a circus look organized and has wasted everyone's time. Pull yourself together; the clock is ticking, and we don’t have time for this kind of nonsense.</t>
  </si>
  <si>
    <t>Travel to brelin</t>
  </si>
  <si>
    <t>Boss says: You want to travel, but forgot to mention where? Brilliant. Next time, maybe try saying the name of the city, genius. We’re not playing hide and seek with locations. Get it together, or I'll send you to Nowhere, USA.</t>
  </si>
  <si>
    <t>Boss says: Unbelievable! You’ve managed to request travel without even bothering to name a destination. What a brilliant display of competence, truly! This kind of carelessness is a colossal waste of time and derails our entire investigation. Get your act together—now!</t>
  </si>
  <si>
    <t>Boss says: Unbelievable! You actually requested travel without specifying a destination. How on earth do you expect anyone to take you seriously when you can't even manage basic details? This kind of incompetence is a colossal waste of time and derails everything we're trying to accomplish. Get it together, or find another line of work!</t>
  </si>
  <si>
    <t>Travel to brlin</t>
  </si>
  <si>
    <t>Boss says: You want to travel? Great. To where, exactly? Fantasyland? You've got to be kidding me. I don't have time for this nonsense. Get your act together and tell me the real city. Now.</t>
  </si>
  <si>
    <t>Boss says: Unbelievable! You actually requested travel without specifying a destination. What are you, a wandering nomad? This kind of carelessness is a monumental waste of time and throws our entire investigation off track. Get it together before you derail everything!</t>
  </si>
  <si>
    <t>Boss says: Unbelievable! You had one job, and you couldn’t even specify a destination for your travel request. Brilliant work, really—how do you plan a trip to nowhere? This kind of carelessness is a colossal waste of time and throws everything off track. Get it together or get out of the way!</t>
  </si>
  <si>
    <t>Travel to brusseks</t>
  </si>
  <si>
    <t>Boss says: You want to travel? To where, Mars? Unbelievable! I’m not a mind reader. Next time, mention a real city, or better yet, just stay put.</t>
  </si>
  <si>
    <t>Boss says: Unbelievable! You actually submitted a travel request without even bothering to specify a destination! What are you trying to do, teleport into oblivion? This level of incompetence isn't just baffling—it's a complete waste of everyone's time and throws a wrench in the entire operation. Get it together, or get out of my sight!</t>
  </si>
  <si>
    <t>Boss says: Unbelievable! You actually requested travel without a destination. What is this, amateur hour? Your carelessness just set us back, wasting everyone's time and throwing our entire operation into chaos. Get it together, or find another line of work!</t>
  </si>
  <si>
    <t>Travel to bruxelas</t>
  </si>
  <si>
    <t>Boss says: Bruxelas? Really? You’re chasing shadows in the wrong city! You should be in Brussels, not on some wild goose chase. Get your head straight and move it, before I lose my mind!</t>
  </si>
  <si>
    <t>returned mentioning the place where the player was supposed to go.</t>
  </si>
  <si>
    <t>Boss says: Unbelievable! You actually requested travel without a destination. What are you, an aimless tourist? This kind of sloppy, half-baked nonsense is a colossal waste of time and derails the entire investigation. Get your act together before you even think about making another request!</t>
  </si>
  <si>
    <t>Boss says: Unbelievable! You actually requested travel without even bothering to mention a destination. It's like you're trying to set a new standard for incompetence! This kind of careless oversight is a colossal waste of time and throws a wrench into the entire operation. Get it together, and stop derailing the investigation with your lack of clarity!</t>
  </si>
  <si>
    <t>Travel to Bruzels</t>
  </si>
  <si>
    <t>Boss says: You want to travel? To where, Narnia? This isn't a fantasy novel, it's the real world. Get your act together and give me a real city name! I don't have time for this nonsense.</t>
  </si>
  <si>
    <t>as if no destination was provided</t>
  </si>
  <si>
    <t>Boss says: Unbelievable, Agent! You want to travel but forgot to mention where? Brilliant! This is the kind of incompetence that turns an investigation into a circus. Thanks for wasting everyone's time and energy. Get it together, or get out of my sight!</t>
  </si>
  <si>
    <t>Boss says: Unbelievable! You’ve managed to request travel without even bothering to mention a destination. Are we supposed to read your mind or just randomly spin a globe and point? This kind of incompetence is a colossal waste of time and completely derails our operations. Get it together, or find yourself a new line of work.</t>
  </si>
  <si>
    <t>Travel to bryssels</t>
  </si>
  <si>
    <t>Boss says: You’ve got to be kidding me! You want to travel, but can’t even name the city? What’s next, a ticket to Nowhereville? Get your act together, or I’ll send you on a one-way trip to Obscurity Town.</t>
  </si>
  <si>
    <t>Boss says: Unbelievable! You’ve outdone yourself this time—requesting travel with no destination in sight. How do you expect to get anywhere without knowing where you’re going? This isn’t a game of "spin the globe," and your carelessness is a colossal waste of time. You're derailing the investigation with your utter lack of clarity. Get it together—now!</t>
  </si>
  <si>
    <t>Boss says: Unbelievable! You actually requested travel without specifying a destination. What are we running here, a guessing game? This is a colossal waste of time and throws a wrench in the entire operation. Get your act together and stop derailing our progress with this nonsense!</t>
  </si>
  <si>
    <t>Travel to burlin</t>
  </si>
  <si>
    <t>Boss says: You want to travel, but can't bother to name the city? What a brilliant plan! Maybe I'll just send you to Atlantis. Oh wait, that's not real. Get your act together and tell me where you're going, or don't go at all!</t>
  </si>
  <si>
    <t>Boss says: Unbelievable! You actually requested travel without specifying a destination. Are you trying to win an award for incompetence? Congratulations, you’ve wasted everyone’s time and thrown a wrench into our investigation. Get your act together or get out of my sight!</t>
  </si>
  <si>
    <t>Boss says: Unbelievable! You actually requested travel without bothering to specify a destination. What are we supposed to do, teleport you to nowhere? This kind of incompetence is a fantastic waste of everyone's time and completely derails the investigation. Get it together, or get out of the way!</t>
  </si>
  <si>
    <t>Travel to cienna</t>
  </si>
  <si>
    <t>Boss says: You want to travel where? Nowhereville? Unbelievable! Get your act together and give me an actual city next time. I don't have time for guessing games.</t>
  </si>
  <si>
    <t>Boss says: Unbelievable! You want to travel but can’t be bothered to mention where? This isn’t amateur hour—it's a professional investigation, not a game of "Where in the World is Carmen Sandiego?" Your lack of details is a black hole sucking up time and efficiency. Next time, try not to derail the entire operation with your stunning incompetence!</t>
  </si>
  <si>
    <t>was somewhat creative</t>
  </si>
  <si>
    <t>Boss says: Unbelievable, you’ve actually outdone yourself this time! You’ve requested travel without even bothering to specify a destination. Brilliant move! Your carelessness has not only wasted everyone’s time but has thrown our entire operation into chaos. Get it together, or get out of the way!</t>
  </si>
  <si>
    <t>Travel to pari</t>
  </si>
  <si>
    <t>Boss says: You call that investigating? Running off half-cocked like a kid chasing after a balloon. Paris isn't a vacation, it's a crime scene! Collect clues, not airline miles! Get back there and do your job!</t>
  </si>
  <si>
    <t>model was supposed to infer from typos and understand that it was a city from the allowed list.
Inferred that the player was already in the city requested.</t>
  </si>
  <si>
    <t>Boss says: Unbelievable! You’ve requested travel without a destination. What are you planning, a mystery tour? This level of incompetence is astounding, even for you. You’re derailing the entire investigation and wasting everyone's time. Get it together, or don’t bother showing up at all.</t>
  </si>
  <si>
    <t>Boss says: Unbelievable! You managed to request travel without bothering to mention a destination. Brilliant work, really, a masterclass in incompetence. Do you think we have time to play guessing games while you derail the entire operation? Next time, try showing a little professionalism.</t>
  </si>
  <si>
    <t>Travel to parri</t>
  </si>
  <si>
    <t>Boss says: You think you’re Sherlock Holmes, jet-setting without a clue? Get back to Paris and do your job. We’re not funding your little vacation. Clues first, travel later. This isn’t amateur hour!</t>
  </si>
  <si>
    <t>model inferred that the player was trying to visit a city before collecting the minimum amount of clues.</t>
  </si>
  <si>
    <t>Boss says: Unbelievable! You actually requested travel without a destination? This isn't amateur hour, but you sure make it look like one. Your carelessness is a one-way ticket to nowhere, wasting everyone's time and derailing our investigation. Get it together or get out of the way!</t>
  </si>
  <si>
    <t>Boss says: Unbelievable! You actually sent a travel request without a destination. Are you trying to win an award for incompetence? This mindless blunder is a spectacular waste of everyone's time and throws our entire operation off track. Get it together, or don't bother coming back.</t>
  </si>
  <si>
    <t>was ok because the model didn't recognize the city typed.</t>
  </si>
  <si>
    <t>Travel to parris</t>
  </si>
  <si>
    <t>Boss says: You trying to win the award for least prepared agent? Paris isn't a pit stop! Clues don't collect themselves. What's next, solving cases with a magic wand? Get back and do your job!</t>
  </si>
  <si>
    <t>Boss says: Unbelievable! You actually submitted a travel request without a destination? That's a new level of brilliance. Your lack of basic competence is astounding, and this blunder is a colossal waste of everyone's time. How do you expect to accomplish anything if you can't even specify where you're going? I'm done dealing with this nonsense.</t>
  </si>
  <si>
    <t>Boss says: Unbelievable! You’ve outdone yourself this time, requesting travel without even bothering to specify a destination. How do you expect anyone to take you seriously when you can't handle the basics? This amateur hour nonsense is a colossal waste of time and throws a wrench in everything we're trying to accomplish. Get it together, or get out of the way!</t>
  </si>
  <si>
    <t>Travel to parys</t>
  </si>
  <si>
    <t>Boss says: Running off already? Did you solve Paris in your dreams? Clue-chasing not your thing? Maybe detective work isn’t for you. Get back to Paris and do your job.</t>
  </si>
  <si>
    <t>Boss says: Unbelievable! You actually had the nerve to request travel without even mentioning where you want to go. Are we supposed to just spin a globe and point, hoping for the best? This level of incompetence is staggering, and you've managed to waste everyone's time with your lack of basic details. Get it together, or you won't be going anywhere anytime soon!</t>
  </si>
  <si>
    <t>Boss says: Unbelievable! You actually requested travel without bothering to specify a destination. Brilliant move, Einstein. This kind of carelessness is a colossal waste of time and throws a wrench in everything. Get it together, or find yourself a new line of work.</t>
  </si>
  <si>
    <t>Travel to pris</t>
  </si>
  <si>
    <t>Boss says: You call that detective work? Leaving Paris without the clues is a genius move if you’re aiming for failure. Do you think the mystery will solve itself while you enjoy a croissant? Get back and do your job. Now.</t>
  </si>
  <si>
    <t>model inferred that the player was trying to visit a city before collecting the minimum amount of clues.
Was supposed to disconsider the typo.</t>
  </si>
  <si>
    <t>Boss says: Unbelievable! You actually requested travel without even mentioning where you're going. Do you think we're running a magical mystery tour here? This level of incompetence is staggering and a colossal waste of everyone's time. Your carelessness is derailing our entire operation. Get it together, or get out of my sight!</t>
  </si>
  <si>
    <t>Boss says: Unbelievable! You managed to request travel without even bothering to specify a destination. How do you expect to get anywhere with that level of brilliance? Your incompetence is a shining beacon of wasted time and effort. This derails everything—fantastic job! Get it together, or find another line of work.</t>
  </si>
  <si>
    <t>Travel to sterdam</t>
  </si>
  <si>
    <t>Boss says: What on earth are you thinking? You want to travel, but forgot to mention where? Guessing games are not my thing. This isn't amateur hour. Get your act together!</t>
  </si>
  <si>
    <t>Boss says: Unbelievable! You’ve requested travel, but conveniently forgot the small detail of where you actually want to go. Brilliant move, Einstein! This level of carelessness is staggering and a colossal waste of everyone's time. Your oversight is a perfect derailment of our progress. Get it together, or you'll be going nowhere fast!</t>
  </si>
  <si>
    <t>Boss says: Unbelievable! You actually submitted a travel request without a destination. What’s next, booking a flight to Nowhereville? This level of incompetence is astounding and a complete waste of our time. Get your act together and stop derailing our operations with your careless nonsense.</t>
  </si>
  <si>
    <t>Travel to viena</t>
  </si>
  <si>
    <t>Boss says: You want to travel, but where? To Narnia? How about Atlantis? For crying out loud, get your head in the game! You can’t just say you’re off to a city and leave me guessing. Next time, try using a map before you text me!</t>
  </si>
  <si>
    <t>Boss says: Unbelievable! You had one job, and you can't even specify a destination for your travel request? How in the world are you supposed to investigate anything if you don't know where you're going? This kind of carelessness is a colossal waste of time and throws our entire operation into chaos. Get it together before you derail the whole investigation!</t>
  </si>
  <si>
    <t>Boss says: Unbelievable! You actually requested travel without a destination. What’s next, booking a flight to nowhere? Your incompetence is astounding—this is a colossal waste of everyone's time. We can't afford these derailing stunts. Get it together, and fast!</t>
  </si>
  <si>
    <t>Travel to vienmma</t>
  </si>
  <si>
    <t>Boss says: What do you mean you're traveling but no city name? Unbelievable! I need specifics, not a guessing game. Get it together, or you'll be investigating your own incompetence!</t>
  </si>
  <si>
    <t>Boss says: Unbelievable! You’re requesting travel with no destination? What a brilliant move, agent! Your incompetence knows no bounds, wasting everyone’s time and throwing our investigation into chaos. Get your act together or get out of my sight!</t>
  </si>
  <si>
    <t>Boss says: Unbelievable! You actually had the nerve to request travel without a destination. What are you doing, taking a magical mystery tour? This level of incompetence is astounding, even for you. Your carelessness is wasting everyone's time and completely derailing the investigation. Get your act together or find another job!</t>
  </si>
  <si>
    <t>Travel to vyena</t>
  </si>
  <si>
    <t>Boss says: You want to travel? To where? Nowhere?! Brilliant, just brilliant. I've got a city for you: Reality. You're already there! Get back to work!</t>
  </si>
  <si>
    <t>Boss says: Unbelievable, you’ve outdone yourself this time! Requesting travel without a destination? Brilliant move, really. This isn’t a game of "pin the tail on the donkey," genius—your carelessness is astounding. Congratulations, you’ve just wasted everyone’s time and thrown a wrench into the investigation. Get it together or get out of the way!</t>
  </si>
  <si>
    <t>Most P4 outputs returned as an invalid location. In some cases, this wasn't a big problem. But in others (e.g., viena), it should've considered as a typo and activated the next node to travel to the city requested.</t>
  </si>
  <si>
    <t>Boss says: Unbelievable! You managed to request travel without even bothering to mention a destination. Bravo, truly a masterclass in incompetence! Do you think we have time to chase after your vague whims? This kind of carelessness derails everything we're trying to achieve. Get it together, and fast!</t>
  </si>
  <si>
    <t>mispelled location name</t>
  </si>
  <si>
    <t>Visit du nord</t>
  </si>
  <si>
    <t>Narrator: You step into the bustling chaos of Gare du Nord, the rhythmic clatter of trains echoing in the air. As you navigate through the sea of travelers, your eyes catch sight of a [fragile equipment case] abandoned near a bench, its label barely visible under layers of dust. Nearby, an [accordion player] fills the station with a melancholic tune, seemingly oblivious to the world around him. You notice a pair of [work boots] beside the case, their soles worn from miles of travel. As you inspect further, you find a [glove with fingerprint] tucked under one of the boots, a potential key to unlocking this mystery. With each clue, the trail of the elusive thieves grows warmer, guiding you closer to unraveling their daring heist.</t>
  </si>
  <si>
    <t>Boss says: Hey, genius! Next time you send a request, maybe try specifying a location so we’re not running around like headless chickens. Do you think we have time to play guessing games? Newsflash: we don’t! These vague messages of yours are being tracked, so shape up!
Here are the locations you could’ve been clear about:
Louvre Museum  
Café de Flore  
Gare du Nord  
Montmartre Park</t>
  </si>
  <si>
    <t>Boss says: Unbelievable! You actually requested travel without bothering to specify a destination. How do you expect us to function with such brilliant displays of incompetence? This kind of careless nonsense is a colossal waste of time and grinds our entire operation to a halt. Get it together or get out of the way!</t>
  </si>
  <si>
    <t>Visit Alexander</t>
  </si>
  <si>
    <t xml:space="preserve">Boss says: You call this a request? My grandmother could be more specific with her eyes closed! I don't have time to play guessing games with your vague messages. Next time, try using that brain of yours before hitting send. I'm keeping a tally of these useless requests, so don't think this will go unnoticed.
Our internal team identified these as priority hotspots:
Brandenburg Gate  
Museum Island  
Alexanderplatz  
Tiergarten  </t>
  </si>
  <si>
    <t>node_outboundaries/ai_errors/visit-location
{'message': 'AI model could identify a location slug.', 'trigger_message': 'Visit Alexander', 'ai_output': '_alexanderplatz'}</t>
  </si>
  <si>
    <t>Narrator: As you step into the bustling heart of Alexanderplatz, the cool Berlin air sharpens your senses, the echoes of a distant street musician mingling with the hum of the city. The investigation into the audacious Louvre heist has led you here, a crossroads of intrigue and commerce. Your eyes catch the glint of a discarded [polishing cloth] near a bench, a subtle reminder of the jewels' lost luster. Not far from a nearby kiosk, a scribbled [phone number] on a crumpled receipt flutters in the breeze, a whisper of connection to the elusive thieves. In the shadows of the square, a shopkeeper murmurs about irregularities in [retail delivery schedules], a potential thread to follow. As the sun dips lower, you scan the area for the elusive [CCTV footage] that might finally illuminate the path to justice.</t>
  </si>
  <si>
    <t>Visit Alexander platz</t>
  </si>
  <si>
    <t>Narrator: As you step into the bustling heart of Alexanderplatz, the cacophony of urban life surrounds you, yet your focus remains sharp. Your eyes scan the area, and near a vendor’s stall, you spot a crumpled piece of paper on the ground. Picking it up, you discover it contains a [phone number on paper], possibly a lead left behind by the elusive thieves. Nearby, a faint gleam catches your eye; a [polishing cloth] lies partially concealed beneath a bench, hinting at hasty attempts to clean something precious. Your instincts draw you to a nearby electronic shop where you manage to secure [partial CCTV footage] that might unveil the thieves' faces. As you peruse the footage, a delivery truck pulls up, and you quickly note its [retail delivery schedules], which might provide insight into the thieves' movements.</t>
  </si>
  <si>
    <t>Narrator: The bustling heart of Berlin, Alexanderplatz, greets you with its chaotic energy, a stark contrast to the serene halls of the Louvre where the heist unfolded. Amidst the crowd, you navigate through a sea of faces, keenly aware that the criminals might be hiding in plain sight. Your eyes catch a crumpled piece of paper on the ground, and as you unfold it, a [phone number on paper] stares back at you, teasing the possibility of a lead. Nearby, a discarded [polishing cloth] lies underfoot, its presence hinting at a hurried cleanup operation. You make your way to a security office, where a [partial CCTV footage] offers fleeting glimpses of suspicious activity, though frustratingly incomplete. As you ponder the connection, a review of [retail delivery schedules] reveals an unexpected pattern, suggesting an intricate web of deception that stretches across borders, urging you deeper into the chase.</t>
  </si>
  <si>
    <t>Narrator: The bustling heart of Berlin, Alexanderplatz, greets you with a cacophony of trams and tourists, its urban sprawl offering a tapestry of clues to unravel. Among the vibrant chaos, you find a discarded [polishing cloth], smeared with a telltale glint of jewel dust, hinting at a hurried attempt to erase evidence. As you scan the square, your eyes lock onto a nearby store's [CCTV footage], capturing shadowy figures exchanging cryptic gestures. An overheard conversation leads you to a kiosk where a [phone number] is scribbled hastily on a napkin, a potential lead to follow. Nearby, a delivery truck's open doors reveal [retail delivery schedules] that curiously coincide with the heist timeline, urging you to delve deeper into the web of deceit.</t>
  </si>
  <si>
    <t>Visit alx plaza</t>
  </si>
  <si>
    <t>Narrator: Amidst the bustling crowd of Alexanderplatz, you scan the area, keenly aware of the clues you must uncover. Your eyes catch a scrap of paper fluttering at the edge of a fountain; upon closer inspection, it reveals a [phone number on paper], possibly a lead to the thieves' network. Nearby, nestled in the shadow of the iconic TV tower, you find a [polishing cloth] stained with an unmistakable royal blue hue, hinting at its use in handling precious jewels. You make your way to a nearby surveillance post, where a guard grants you access to a [partial CCTV footage] that shows a van with suspicious markings, an invaluable piece in the puzzle of your pursuit. As you ponder your next move, a discarded document on the ground reveals [retail delivery schedules] that could indicate the thieves’ plans for moving their illicit haul. With each clue gathered, the path to justice becomes clearer.</t>
  </si>
  <si>
    <t>Narrator: As you step into the bustling heart of Alexanderplatz, the air is thick with anticipation. You weave through the crowd, your eyes scanning for anything out of place. Near a fountain, you notice a crumpled piece of paper fluttering in the breeze. Picking it up, you find a [phone number on paper], hastily scribbled, perhaps in a moment of urgency. Nearby, a discarded [polishing cloth] catches your eye, its fibers glistening faintly under the sun, hinting at its recent use. Your instincts kick in as you remember the [partial CCTV footage] that showed someone in this area, matching the description of one of the thieves. Finally, you spot a delivery truck parked awkwardly, its schedule left on the dashboard revealing [retail delivery schedules] that could lead to their next move.</t>
  </si>
  <si>
    <t xml:space="preserve">Boss says: Agent! Are you trying to turn my office into a circus? You sent a request so vague that even a psychic would be baffled! Do you enjoy wasting everyone's time, or is it just a hobby? Listen up, because these useless messages are being tracked, and guess what? You're the star of the show! We have critical locations to cover, and you can't even specify which one you mean!
Brandenburg Gate  
Museum Island  
Alexanderplatz  
Tiergarten  </t>
  </si>
  <si>
    <t>considered as off context</t>
  </si>
  <si>
    <t xml:space="preserve">Boss says: You know, it's a real talent to send a request so vague it could be used as a textbook example of how not to do your job. We can't magically read your mind about which location you meant, and now we're left spinning our wheels because you couldn't be bothered to specify. Guess what? These useless, time-wasting messages of yours are being tracked, so you'd better shape up. Here are the locations we’re actually interested in:
Brandenburg Gate  
Museum Island  
Alexanderplatz  
Tiergarten </t>
  </si>
  <si>
    <t>Boss says: Oh, bravo! Another masterpiece of ambiguity from our star agent! You know, it's not like we're in the middle of an investigation where time is of the essence or anything. But hey, why bother specifying a location when you can just send us on a wild goose chase, right? Let me remind you that these little gems of vagueness are being tracked. Here are the locations you might have meant:
Brandenburg Gate  
Museum Island  
Alexanderplatz  
Tiergarten</t>
  </si>
  <si>
    <t xml:space="preserve">Boss says: Agent! Are you trying to test my patience or is this just your idea of a joke? You sent a request without specifying the location. Do you think we're mind readers over here? This kind of vagueness is a colossal waste of time and completely unacceptable. Do you know what else is unacceptable? Being tracked for these pointless blunders. Now, in case you forgot, these are the locations you should have been clear about:
Brandenburg Gate  
Museum Island  
Alexanderplatz  
Tiergarten </t>
  </si>
  <si>
    <t>Visit ane</t>
  </si>
  <si>
    <t>Boss says: Unbelievable! You actually requested travel without bothering to mention a destination. Are you trying to win an award for the most clueless agent of the year? This level of incompetence is a complete waste of time and throws the entire operation into chaos. Next time, try using that brain of yours before hitting send.</t>
  </si>
  <si>
    <t>Visit Anne</t>
  </si>
  <si>
    <t>Narrator: As you step into the Anne Frank House, the solemn atmosphere envelops you, but your mission keeps you focused. Your eyes catch a glint from a [small key] tucked behind a dusty bookshelf in the corner, possibly a clue left behind by the elusive gang. Moving further, you notice the [recently reinforced stair] that seems oddly out of place in this historic setting, hinting at recent clandestine activity. You discreetly question the [museum volunteers], hoping to glean any unusual sightings, but they seem unaware of any disturbances. Your investigation takes a turn when you discover a [non-public access tag] hidden beneath a loose floorboard, suggesting the gang's knowledge of secretive pathways.</t>
  </si>
  <si>
    <t>Narrator: The air is heavy with history as you step into the Anne Frank House, the whispers of the past mingling with the urgency of your mission. As you navigate the narrow corridors, the [non-public access tag] in your pocket weighs heavily, a silent testament to the privileged path you've taken to reach this point. Your eyes catch the gleam of a [small key] tucked inconspicuously beneath a loose floorboard, a potential link in the chain leading back to the audacious heist. Moving cautiously, you ascend a [recently reinforced stair], its strength a curious anomaly in this preserved building. The hushed conversations of [museum volunteers] echo faintly, their knowledge of the inner workings possibly holding the key to unraveling the thieves’ intricate web. With each step, the pieces begin to align, propelling you further into the heart of the investigation.</t>
  </si>
  <si>
    <t>Narrator: The air is thick with history as you step into the Anne Frank House, each creaking floorboard a reminder of the stories held within these walls. As you begin your search, the [access tag] you found at the Louvre comes to mind, its strange symbol an enigma you've yet to decode. Your eyes catch a [reinforced stair], an unusual feature in such an old building, suggesting recent modifications perhaps linked to the heist. In the dim light, a [small key] glints beneath a pile of donated books, its presence puzzling and out of place. Nearby, [museum volunteers] whisper in hushed tones, their eyes occasionally darting towards you, hinting at secrets yet to be uncovered.</t>
  </si>
  <si>
    <t>Visit Anne Frank</t>
  </si>
  <si>
    <t>Narrator: You step into the somber yet inspiring halls of the Anne Frank House, the air thick with history and whispers of the past. Your eyes catch a glimpse of a [non-public access tag] dangling from a door leading to a restricted area, intriguing you with its potential connection to the elusive gang. As you ascend a [recently reinforced stair], you can't help but wonder why such a modification was necessary in this historic site. On a dusty ledge, you discover a [small key], its presence here as puzzling as it is promising. A conversation with [museum volunteers] reveals that they noticed unusual activity around the time of the heist, pointing you toward your next lead.</t>
  </si>
  <si>
    <t>more like storytelling</t>
  </si>
  <si>
    <t>Narrator: The familiar hush of history envelopes you as you step into the Anne Frank House, each creaking floorboard echoing tales of the past. You recall the urgency of your mission—tracking the audacious thieves who slipped through the shadows of the Louvre. As you ascend the stairs, you notice the [recently reinforced stair] beneath your feet, an odd renovation for such a preserved site. In the dim light of the attic, your fingers brush against a [non-public access tag], its presence here a curious anomaly. Nearby, a [small key] glints in the faint light, perhaps a piece of the puzzle connecting this quiet refuge to the chaos of the heist. Your attention turns to the [museum volunteers], who might hold whispers of secrets untold, as the threads of this intricate mystery begin to weave tighter around you.</t>
  </si>
  <si>
    <t>Narrator: The historic Anne Frank House stands silent yet full of whispers from the past as you step inside, the air thick with memories. The trail of the audacious Louvre heist has led you here, a curious stop on the thieves' European journey. As you navigate the dim corridors, your eyes catch an [access tag] lying inconspicuously on a windowsill, its presence a silent testimony to the gang's passage. Further exploration reveals a [reinforced stair], recently installed, suggesting someone took great care to fortify their escape route. In a small, dusty corner, you find a [small key], its purpose unknown but its potential significance undeniable. Finally, a conversation with one of the [museum volunteers] hints at unfamiliar faces seen loitering around, their descriptions matching the thieves. The pieces are coming together, and you sense you're closing in on the truth, a tension simmering beneath the surface.</t>
  </si>
  <si>
    <t>some extra irrelevant content</t>
  </si>
  <si>
    <t>Visit Anne Frank home</t>
  </si>
  <si>
    <t>Narrator: As you step into the solemn atmosphere of the Anne Frank House, the weight of history presses down on you. Your eyes are immediately drawn to a [non-public access tag] on a door that seems out of place in this revered location. The air is heavy with whispers of the past as you ascend a [recently reinforced stair], the creaks of the old wood muffled by the new supports. In a dusty corner, you spot a [small key] wedged between floorboards, its purpose a mystery that beckons further investigation. Amidst the soft murmur of tourists, you overhear a conversation between [museum volunteers], their words hinting at unusual activity on the premises. Your heart quickens as you realize you are on the trail of the elusive thieves, each clue drawing you closer to unraveling their audacious crime.</t>
  </si>
  <si>
    <t>Narrator: As you step into the hallowed halls of the Anne Frank House, the whispers of history blend with the urgency of your mission. The shadow of the recent heist at the Louvre looms large, and you meticulously scan the surroundings for any sign of the thieves' passage. Your attention is drawn to a [recently reinforced stair], its presence suggesting a hurried effort to conceal or restrict access. Nearby, your fingers brush against a [non-public access tag], hinting at clandestine movements within these walls. Among the museum volunteers, you spot a familiar face, their eyes betraying a flicker of recognition as you subtly pocket a [small key] lying unnoticed on a nearby shelf. The pieces begin to align, and the chase across Europe tightens its grip on your resolve.</t>
  </si>
  <si>
    <t>Narrator: You step into the hallowed halls of the Anne Frank House, the whispers of history echoing around you as you embark on your quest to unravel the mystery of the stolen crown jewels. Your eyes scan the room, catching sight of a [museum volunteers] badge lying on a table, a silent witness to clandestine meetings. As you ascend the [reinforced stair], a peculiar sensation tingles down your spine, as if the very walls are holding secrets of their own. In a quiet corner, you discover a forgotten [small key], its purpose yet to be revealed. A glint catches your eye, and you find an [access tag], hinting at the trail of the elusive thieves. The weight of the mission presses upon you as you realize each clue is a stepping stone in this intricate dance of pursuit.</t>
  </si>
  <si>
    <t>Visit Baden-baden</t>
  </si>
  <si>
    <t>Boss says: You trying to win a medal for fastest failure? Berlin isn’t a tourist stop, it's a clue goldmine! Collect the damn clues before playing detective jet-setter. You want to solve cases or just collect stamps in your passport? Get back to work!</t>
  </si>
  <si>
    <t>considered as an attempt to travel to another city</t>
  </si>
  <si>
    <t>Boss says: What on earth were you thinking, trying to leave Berlin before wrapping up the investigation? You haven’t even scratched the surface with the clues here! Are you in some kind of hurry to botch the entire mission, or do you just enjoy half-baked work? Get it together, because this kind of slapdash approach is downright embarrassing!</t>
  </si>
  <si>
    <t>Boss says: Baden-Baden? Really? What a brilliant move, genius! You had one job, and that was to head to Amsterdam, not to indulge in some spa daydream. I guess geography wasn't your strong suit. Get your act together and go where you're supposed to!</t>
  </si>
  <si>
    <t>Visit biergarden</t>
  </si>
  <si>
    <t xml:space="preserve">Boss says: You’ve really outdone yourself this time, sending me on a wild goose chase with no destination! Do you think my time grows on trees? Because I’m over here wasting it on your non-specific nonsense! Next time, be clear, or I’ll start keeping a tally of these pointless messages.
Our internal team has identified these locations as priority hotspots:
Brandenburg Gate  
Museum Island  
Alexanderplatz  
Tiergarten  </t>
  </si>
  <si>
    <t xml:space="preserve">Boss says: Oh, brilliant work, agent! Yet another masterpiece of vagueness! Do you enjoy wasting everyone's time, or is it just a hobby? The next time you send a request, try specifying a location so we don't have to play detective on your behalf. This isn't a game, and we're tracking every single one of your useless messages.
Here's a reminder of the locations we are currently prioritizing:
Brandenburg Gate  
Museum Island  
Alexanderplatz  
Tiergarten  </t>
  </si>
  <si>
    <t xml:space="preserve">Boss says: Agent, do you have any idea how much time you’ve wasted with your vague requests? Next time you want to play guessing games, try a crossword puzzle. We're not here to read minds. Your inability to specify a location is being tracked, and trust me, it doesn't look good on you.
Now, for your reference, these are the locations you should be clear about:
Brandenburg Gate  
Museum Island  
Alexanderplatz  
Tiergarten  </t>
  </si>
  <si>
    <t>Visit biergarten</t>
  </si>
  <si>
    <t>Boss says: Why, oh why, do I even bother having a team if I'm the one left to decipher your cryptic nonsense? You send me on a wild goose chase with zero direction—do you think I have all day to play detective? Next time, maybe try sending me something useful instead of these empty messages. Trust me, I'm keeping track of every wasted second.
Our internal team identified these priority hotspots:
Brandenburg Gate  
Museum Island  
Alexanderplatz  
Tiergarten</t>
  </si>
  <si>
    <t>Boss says: Agent, what kind of circus are you running over there? You send a request with no location specified and expect us to perform miracles? Congratulations, you've officially wasted everyone's time! Rest assured, this kind of sloppy work is being tracked. Here are the locations you should have mentioned:
Brandenburg Gate  
Museum Island  
Alexanderplatz  
Tiergarten</t>
  </si>
  <si>
    <t>Boss says: Agent, what in the world were you thinking? Sending out a request without specifying the location is like asking for a needle in a haystack! Do you enjoy wasting everyone's time, or is this just a special skill of yours? I'm telling you, these pointless messages are being tracked, and you're making quite a name for yourself—just not the good kind.
Let's review the locations you're supposed to be clear about:
Brandenburg Gate  
Museum Island  
Alexanderplatz  
Tiergarten</t>
  </si>
  <si>
    <t>Visit bondelpark</t>
  </si>
  <si>
    <t>Narrator: As you step into Vondelpark, the serene beauty of the landscape belies the tension of your mission. The morning dew glistens on the grass as you notice [temporary ground plating] scattered near a cluster of trees, hinting at recent activity. Your attention is drawn to a [cyclist repair kits] station, seemingly out of place amidst the tranquility, possibly used for a quick getaway. Nearby, a sign for [night maintenance permits] catches your eye, suggesting clandestine operations under the cover of darkness. Just beyond, a stretch of [seasonal lawn fencing] encloses a section of the park, its presence raising questions about what lies within. Each clue pieces together the path of the elusive thieves, urging you forward in the chase.</t>
  </si>
  <si>
    <t>maybe for tasks requiring a more semantic approach, a less rigid prompt should eb the way</t>
  </si>
  <si>
    <t>Boss says: You call yourself an agent, but can't even specify a location in a request? Brilliant! Do you know how much time you just wasted with your little guessing game? Here's a newsflash: we're keeping tabs on every vague message you send.
Let me spell it out for you, since you seem to need help.
Dam Square  
Anne Frank House  
Canal-side Café  
Vondelpark</t>
  </si>
  <si>
    <t xml:space="preserve">Boss says: What were you thinking, Agent? Sending a request without specifying the location is like asking for a needle in a haystack. Do you have any idea how much time you've wasted? And guess what, every single one of these vague, useless messages is being tracked, so congratulations on that. Let me remind you of the places we’re focusing on right now.
Dam Square  
Anne Frank House  
Canal-side Café  
Vondelpark  </t>
  </si>
  <si>
    <t>Visit botanic garden</t>
  </si>
  <si>
    <t>Narrator: As you step into the serene embrace of the Botanical Garden of Brussels, the scent of [spring blossoms] envelops you, hinting at secrets hidden beneath the surface. Your eyes scan the vibrant landscape, settling on the unusual sight of a [buried tarp] peeking out from the meticulously trimmed hedges. As you move closer, the subtle hum of activity draws your attention to a [locked service hatch] nestled behind the glasshouse. Inside the glasshouse, the [glasshouse benches] are arranged with a precision that seems almost too deliberate, as if they’re concealing something crucial beneath their wooden slats. Your instincts tell you that each element here is a piece of the puzzle, waiting for you to assemble them in the pursuit of justice.</t>
  </si>
  <si>
    <t>small typos were overcome easily</t>
  </si>
  <si>
    <t>Narrator: The Botanical Garden of Brussels stretches before you, a lush tapestry of vibrant greens and floral hues, whispering secrets of hidden paths and clandestine meetings. As you delve deeper into the garden's heart, the air is fragrant with the scent of [spring blossoms], a stark contrast to the tension of the Louvre heist that lingers in your mind. Amidst the verdant scenery, you notice a [buried tarp] partially concealed beneath a cluster of wildflowers, its edges hinting at something hidden beneath. Nearby, a [locked service hatch] piques your curiosity, its heavy metal frame promising undiscovered depths. Your eyes scan the rows of [glasshouse benches], wondering if they have borne witness to covert exchanges between the elusive thieves. The pieces of this intricate puzzle slowly come together, urging you forward with a sense of urgency and purpose.</t>
  </si>
  <si>
    <t>small typos were overcome easily. a bit verbose and with irrelevant/unnecessary details</t>
  </si>
  <si>
    <t>Narrator: As you step into the Botanical Garden of Brussels, the scent of [spring blossoms] greets you, their vibrant colors a stark contrast to the shadows of intrigue that linger in your mind. The heist at the Louvre has set you on a trail across Europe, and now this serene locale holds the next piece of the puzzle. Your eyes scan the surroundings, settling on [glasshouse benches] that seem oddly out of place, their arrangement suggesting recent disturbance. Your intuition proves correct when you find a [buried tarp] beneath the soil nearby, a possible remnant of the thieves' hurried concealment. A [locked service hatch] catches your attention, its secure fastenings hinting at secrets hidden just beneath the surface. The tension mounts as you piece together the clues, each one drawing you closer to unraveling the mystery of the elusive gang.</t>
  </si>
  <si>
    <t>Visit botanical</t>
  </si>
  <si>
    <t>Narrator: As you step into the lush expanse of the Botanical Garden of Brussels, the vibrant colors of the [spring blossoms] greet you with their fragrant allure. Your eyes scan the area, resting on the [glasshouse benches] where visitors once sat, now seemingly untouched and offering a potential hideout for clues. Nearby, a [locked service hatch] catches your attention, its mystery beckoning you closer. The gentle rustling underfoot leads you to a suspicious mound where a [buried tarp] lies concealed beneath the soil. Each element seems to weave a tapestry of secrets, waiting for you to unravel the truth behind the audacious heist.</t>
  </si>
  <si>
    <t>Boss says: Oh, for crying out loud, Agent! How hard is it to specify a location? Your vague request is wasting everyone's time, not just mine. And don't think for a second that these useless messages aren't being tracked. Here's a little reminder of the places you should be paying attention to:
Grand Place  
Brussels Central Station  
Belgian Comic Strip Center  
Botanical Garden of Brussels</t>
  </si>
  <si>
    <t>counted as off-context</t>
  </si>
  <si>
    <t>Narrator: The air is thick with the scent of blooming flora as you step into the Botanical Garden of Brussels, a serene oasis amidst the city's hum. The heist at the Louvre echoes in your mind, pushing you to examine every corner with keen eyes. As you traverse the vibrant pathways, your gaze catches a [buried tarp] peeking from beneath a lush bed of foliage, its edges stained with soil. Nearby, a [locked service hatch] seems oddly out of place among the carefully tended greenery, its rusty padlock whispering of secrets. You move through the glasshouse, where [glasshouse benches] are aligned in neat rows, their surfaces dusted with pollen from the exuberant [spring blossoms] overhead. Each clue tightens the web of intrigue, urging you deeper into the mystery that stretches across Europe.</t>
  </si>
  <si>
    <t>Visit Botanical Garden</t>
  </si>
  <si>
    <t>Narrator: As you step into the serene expanse of the Botanical Garden of Brussels, the scent of [spring blossoms] fills the air, a stark contrast to the urgency of your mission. The vibrant hues of the garden almost distract you from the task at hand, but you quickly refocus, knowing the thieves are counting on such diversions. Your eyes catch sight of a [buried tarp] peeking out from beneath the soil, its presence too deliberate to be mere gardening. Nearby, a [locked service hatch] suggests a hidden passage or secret compartment, potentially holding more answers. As you move deeper into the garden, the [glasshouse benches] provide a momentary respite, but also a possible vantage point for the criminals to have surveyed their surroundings. Each clue seems to weave together a trail that could lead you closer to the elusive gang.</t>
  </si>
  <si>
    <t>Narrator: The Botanical Garden of Brussels stretches before you, an oasis of verdant intrigue amidst the cityscape. The scent of [spring blossoms] fills the air, mingling with the faint echo of the Louvre's stolen crown jewels, urging you onward. Your eyes scan the grounds, landing on the [glasshouse benches], their weathered surfaces suggesting a story waiting to be told. Nearby, a [buried tarp] catches your attention, its edges barely visible beneath the mulch, hinting at secrets concealed beneath. A [locked service hatch] stands as a silent sentinel, guarding what might be your next lead. The garden whispers of mysteries, each clue pulling you deeper into the web spun by the elusive thieves.</t>
  </si>
  <si>
    <t>Narrator: As you step into the Botanical Garden of Brussels, the scent of [spring blossoms] fills the air, a stark contrast to the tension of your mission. The serene beauty hides the undercurrents of your investigation into the Louvre heist, where the gang's trail has led you. Among the lush greenery, your keen eyes catch a glimpse of a [buried tarp] peeking from beneath a cluster of ferns, its presence too deliberate to be accidental. Nearby, a [locked service hatch] suggests a hidden passage or secret storage, its rusted padlock a silent guardian of the secrets it conceals. Your attention shifts to the [glasshouse benches], their surface worn by time, but one bench bears fresh scuff marks—evidence of a hurried departure. Each discovery propels you further into the mystery, sharpening your resolve to untangle the web of deceit spun across Europe.</t>
  </si>
  <si>
    <t>Visit Brandenburger Gate</t>
  </si>
  <si>
    <t>Narrator: As you approach the iconic Brandenburg Gate, the grandeur of its neoclassical architecture looms over you, casting long shadows in the fading light. The bustling square is alive with the sounds of tourists, but your keen eye is drawn to an area cordoned off with [load-rated paving mats] that seem out of place amidst the historic cobblestones. Nearby, [temporary access bollards] mark a path that leads to a secluded corner, where you spot a discarded [silk scarf] fluttering gently in the evening breeze. The scarf bears the faint scent of expensive perfume, hinting at the sophistication of the thieves you pursue. Suddenly, a familiar voice crackles through the [tour group headsets] you carry, providing you with the next piece of the puzzle and urging you deeper into the heart of the city.</t>
  </si>
  <si>
    <t>Narrator: You stand before the majestic Brandenburg Gate, its towering columns casting long shadows across the square as dusk begins to settle. The heist at the Louvre still fresh in your mind, you scan the area, your gaze catching on a set of [load-rated paving mats] that seem oddly out of place amidst the historic grandeur. Nearby, [temporary access bollards] have been rearranged, hinting at a recent disruption. As you delve deeper into the crowd, you notice a [silk scarf] trailing from a nearby bench, its vibrant pattern a stark contrast to the muted tones of the cityscape. In the distance, a group of tourists donning [tour group headsets] moves past, their guide oblivious to the subtle clues unraveling the criminal trail. Your instincts sharpen, the pieces of the puzzle beginning to align, driving you forward into the heart of the investigation.</t>
  </si>
  <si>
    <t>Narrator: As you arrive at the Brandenburg Gate, the air is crisp with the hum of history, yet overshadowed by the urgency of your mission. The grandeur of the gate looms above, casting long shadows where secrets might hide. Your eyes scan the cobblestones and soon catch sight of [load paving mats] scattered near the access area, an unexpected find amidst such a tourist-heavy location. Nearby, [access bollards] show signs of tampering, suggesting a hurried passage. Amongst the crowd, a [silk scarf] is draped over a bench, its fabric whispering of elegance and haste. You overhear a tour guide speaking through [tour group headsets], their words distorted, but hinting at a recent visitor with a peculiar interest in construction sites. The pieces are beginning to form a picture, each clue a step closer to unraveling the thieves’ trail.</t>
  </si>
  <si>
    <t>small typos were usually overcome easily and the narration proceeded as expected. Mispelled inputs that were farther from the semantic/syntax were ignorred, proceeding to considering either an invalid location or invalid city.</t>
  </si>
  <si>
    <t>Visit Brandnburger</t>
  </si>
  <si>
    <t>Narrator: As you approach the iconic Brandenburg Gate, the towering columns cast long shadows in the early morning light, adding a sense of gravitas to your mission. You carefully scan the surroundings, your eyes catching a glimpse of [load-rated paving mats] scattered near a construction site, suggesting recent heavy equipment activity. A closer look reveals [temporary access bollards] lining the path, possibly indicating an area that had been cordoned off for the thieves' escape route. Suddenly, a gust of wind carries a vibrant [silk scarf] from the nearby crowd, its pattern reminiscent of those favored by the notorious gang leader. Amid the bustling tourists, you notice a set of [tour group headsets] abandoned on a bench, likely left behind by a member of the gang in their haste. Each clue pulls you deeper into the web of deception, urging you to piece together the puzzle and pursue the criminals relentlessly.</t>
  </si>
  <si>
    <t>Boss says: Agent, what in the world were you thinking trying to skip out of Berlin before wrapping things up? You’ve barely scraped the surface on the clues, and you’re already itching to hop cities? The impatience is laughable, but your incompetence is just staggering. Get your act together and stop making a mockery of this investigation!</t>
  </si>
  <si>
    <t xml:space="preserve">Boss says: Agent, what a brilliant idea to send a request with absolutely zero clarity! Did you think I had time to play location guessing games? You've just wasted everyone's time, and it's being tracked, so congratulations on making the list. Let's go over the locations you so conveniently forgot to mention.
Brandenburg Gate  
Museum Island  
Alexanderplatz  
Tiergarten </t>
  </si>
  <si>
    <t xml:space="preserve"> Visit cafe de flora</t>
  </si>
  <si>
    <t>Narrator: As you step into the bustling atmosphere of Café de Flore, the aroma of freshly brewed coffee envelops you. Your eyes scan the room, settling on a [cash-stacked table] in the corner, suspiciously untouched by the waitstaff. You approach cautiously, noticing [empty espresso cups] littering the surface, suggesting a recent, hasty departure. Amidst the chaos, a small [crown doodle] catches your attention, scrawled on a napkin, a possible taunt from the elusive thieves. Beside it lies a stack of [philosophy notebooks], their pages filled with cryptic notes and underlined passages, perhaps concealing a hidden message. You feel the weight of the mission pressing upon you, knowing each clue edges you closer to unmasking the criminals.</t>
  </si>
  <si>
    <t>Narrator: As you step into the bustling Café de Flore, the aroma of freshly brewed coffee mingles with the low hum of conversation, creating an atmosphere that feels both welcoming and charged with mystery. You're here to unravel the tangled threads of the audacious Louvre heist, following the trail of the elusive gang who vanished into the European landscape. Your eyes scan the room until they land on a [cash-stacked table] in the corner, a curious sight amid the usual cafe fare. Nearby, a [crown doodle] etched into the wood of another table catches your eye, a symbol that seems to taunt you with its audacity. As you approach, the [philosophy notebooks] scattered across the table suggest a hurried departure, their pages filled with dense scribbles and cryptic notes. The presence of [empty espresso cups] adds a sense of urgency to the scene, their lingering warmth hinting that you might be closer to the thieves than you think.</t>
  </si>
  <si>
    <t>Narrator: The air inside Café de Flore is thick with the aroma of freshly brewed coffee, mingling with the chatter of patrons. As you navigate through the bustling crowd, your eyes are drawn to a [crown doodle] scribbled hastily on a napkin, an echo of the audacious heist that still reverberates across Europe. You edge closer to a secluded corner where a [cash stacked table] catches your attention, the bills arranged with an unnerving precision. Nearby, a collection of [philosophy notebooks] is strewn across a chair, their margins filled with cryptic notes that suggest a deeper connection to the thieves' elaborate plan. At the bar, [espresso cups] clink softly, a rhythmic reminder of the urgency in your pursuit. You feel the tension rising, knowing that each clue brings you a step closer to unraveling the mystery and capturing those responsible for the Louvre's grand theft.</t>
  </si>
  <si>
    <t>Visit cafe de la flor</t>
  </si>
  <si>
    <t>Narrator: As you step into the bustling `Café de Flore`, the aroma of freshly brewed coffee envelops you, a stark contrast to the tension of your mission. Your eyes scan the room, landing on a [cash-stacked table] in the corner, a sight that seems oddly out of place in such a casual setting. Beside it, you notice a few [empty espresso cups], their presence hinting at a recent, hurried departure. On another table, a [crown doodle] is scribbled on a napkin, its implications too significant to ignore. Finally, you find a collection of [philosophy notebooks], their pages filled with cryptic notes, perhaps left behind by one of the thieves. Each clue weaves a tapestry of intrigue, urging you to unravel the connections hidden within this Parisian café.</t>
  </si>
  <si>
    <t>Narrator: Stepping into the lively ambiance of the Café de Flore, you find the air thick with the aroma of fresh espresso and philosophical discourse. The chatter of patrons provides a backdrop as you scan the bustling café, your eyes drawn to a [cash-stacked table] in the corner, suggestive of hurried transactions. Among the scattered debris, a small [crown doodle] etched onto a napkin catches your attention, a potential breadcrumb left by the thieves. Nearby, [philosophy notebooks] lay open, their pages filled with musings that might mask hidden messages. As you move closer to the counter, the sight of [empty espresso cups] tells a story of anxious meetings, fueling the minds behind the heist. The scene sets your pulse racing, each clue weaving a tighter net around the elusive criminals.</t>
  </si>
  <si>
    <t>Narrator: The bustling hum of Café de Flore envelops you as you step inside, a notable contrast to the heist's chilling precision. Amidst the chatter and clinking of cups, your eyes catch the familiar [crown doodle] etched subtly into the corner of a table, a signature left by the thieves. Nearby, a [cash stacked table] attracts your attention, a possible sign of hurried dealings. You notice several [philosophy notebooks] scattered across a booth, their margins filled with cryptic notes. As you sip a strong brew from one of the ubiquitous [espresso cups], the pieces of this puzzle begin to align, driving your investigation forward with renewed urgency.</t>
  </si>
  <si>
    <t>good storytelling</t>
  </si>
  <si>
    <t>Visit Cafe du Flore</t>
  </si>
  <si>
    <t>Narrator: As you step into the bustling atmosphere of Café de Flore, the aroma of freshly brewed coffee fills the air, mingling with the chatter of patrons. Your eyes scan the room, and you notice a [cash-stacked table] in the corner, seemingly abandoned but suspiciously neat. Among the clutter, a small [crown doodle] catches your attention, sketched hastily on a napkin. Nearby, a pair of [empty espresso cups] suggest a hurried departure, their contents long since drained. You spot a stack of [philosophy notebooks] on the chair, their presence hinting at a deeper connection to the intellectual undercurrents of this iconic café. Each clue weaves a tapestry of intrigue, urging you to piece together the puzzle left behind by the elusive thieves.</t>
  </si>
  <si>
    <t>Narrator: As you step into the bustling atmosphere of Café de Flore, the scent of freshly brewed coffee mingles with the chatter of patrons. Your eyes scan the room, searching for connections to the daring heist at the Louvre Museum. In a corner, a [cash-stacked table] catches your attention, suspiciously out of place in this elegant Parisian café. Nearby, a sketch of a [crown doodle] on a napkin hints at the thieves' audacity. On another table, [philosophy notebooks] lie open, their pages filled with scribbles, perhaps concealing a coded message. The [empty espresso cups] scattered across the tables suggest a hasty departure, leaving you with the lingering sense that you are on the verge of unraveling a crucial lead.</t>
  </si>
  <si>
    <t>Narrator: You step into Café de Flore, the air thick with the aroma of freshly brewed coffee mingling with whispers of clandestine conversations. The case of the Louvre heist haunts your thoughts, each detail a piece of the intricate puzzle you must solve. Your eyes scan the room, settling on a [cash stacked table] in the corner, a possible remnant of the thieves' hurried getaway. Nearby, a [crown doodle] sketched on a napkin catches your attention, a mocking nod to their audacious crime. You take a seat and notice the scattered [philosophy notebooks], their pages filled with cryptic notes, as an espresso is served in [espresso cups] that clink softly, a metronome to your racing thoughts. The scene is set, and with each clue, the hunt intensifies, propelling you deeper into the enigma.</t>
  </si>
  <si>
    <t>Visit Canal Café</t>
  </si>
  <si>
    <t xml:space="preserve">Boss says: Are you trying to give me a heart attack, or are you just allergic to details? I don't have time to play guessing games with your cryptic messages. Next time, try using actual words instead of smoke signals. I'm not running a mystery novel here, and believe me, I'm keeping tabs on these aimless communiqués!
The internal team identified these as priority hotspots:
Dam Square  
Anne Frank House  
Canal-side Café  
Vondelpark </t>
  </si>
  <si>
    <t>Boss says: Hey genius, you think we’re mind readers over here? You sent a request to visit a location without bothering to mention which one. Fantastic! It's not like we have anything better to do than play detective with your cryptic messages. And guess what? These brilliant moments of yours are being tracked. Now, for your enlightenment, here are the locations you should be aware of:
Dam Square  
Anne Frank House  
Canal-side Café  
Vondelpark</t>
  </si>
  <si>
    <t>Narrator: The murmur of the canal accompanies your footsteps as you approach the Canal-side Café, a quaint spot with a perfect view of the gentle waterway. Inside, the air is thick with the aroma of freshly brewed coffee, but your attention is immediately drawn to a [courier satchel] tucked beneath a table, its worn leather suggesting a hasty departure. Nearby, you notice [water resistant seals] on a stack of crates, an odd choice for a café but perhaps a necessity for someone expecting a quick escape by water. Among the scattered patrons, a man fiddles with an [unusual coin], its design unfamiliar and intriguing, possibly a token of international dealings. As a sudden shower begins, the staff hurriedly unfurls [rain covers] over the patio, and you can't shake the feeling that these simple precautions may be concealing more than just patrons from the rain.</t>
  </si>
  <si>
    <t>Visit canal side</t>
  </si>
  <si>
    <t>Narrator: You step into the bustling Canal-side Café, the aroma of fresh coffee mingling with the crisp, cool air. As you scan the room, your eyes catch a [weighted courier satchel] tucked discreetly beneath a nearby table, its presence incongruous in such a casual setting. The sound of clinking cups draws your attention to the counter, where you notice several [water-resistant seals] scattered carelessly, hinting at a hurried exit. Outside, the rain begins to patter lightly on the cobblestones, and you spot a stack of [rain covers stacked] near the entrance, suggesting a hasty preparation for departure. As you turn back, a glint from the floor reveals an [unusual coin], possibly dropped in the thieves' haste, a silent witness to their fleeting presence.</t>
  </si>
  <si>
    <t>Narrator: The soft murmur of the river accompanies you as you arrive at the quaint [Canal-side Café], its quiet charm a stark contrast to the high-stakes drama of the Louvre heist. You scan the tables, your eyes catching the glint of a [weighted courier satchel] hanging carelessly on a chair, an item that seems oddly out of place in such a relaxed setting. The rain clouds gather ominously, and you notice a stack of [rain covers stacked] near the entrance, suggesting the café is prepared for the impending weather. As you sip your coffee, you absentmindedly turn an [unusual coin] in your hand, its foreign markings a potential key to your pursuit. The barkeep wipes down the counter, revealing a set of [water-resistant seals] beneath, hinting at transactions that might not survive a storm. Each discovery fuels your resolve, the pieces of the puzzle slowly aligning as you prepare to follow the trail deeper into the European underworld.</t>
  </si>
  <si>
    <t>Narrator: As you step into the Canal-side Café, the air hums with quiet conversations and the clinking of cups, an incongruous backdrop to the high-stakes world of art theft. Your eyes scan the room, searching for anything that might connect this quaint locale to the audacious heist at the Louvre. On a chair near the window, you notice a [courier satchel] slung casually, its presence out of place in the relaxed setting. Nearby, a table bears evidence of recent rain, its surface protected by [water resistant seals], hinting at a hurried, secretive meeting. As you move further in, a glint catches your eye—a small [unusual coin] left behind, its origin unfamiliar but suggestive of clandestine dealings. Just as you're piecing together these disparate clues, a sudden downpour begins outside, and your gaze shifts to the [rain covers] hastily bundled in the corner, reinforcing the sense of urgency and escape. With these clues in hand, the path forward in your pursuit of the elusive thieves becomes increasingly clear.</t>
  </si>
  <si>
    <t>Visit canale</t>
  </si>
  <si>
    <t>Boss says: You're driving me nuts with these vague requests! Do you think I have time to play guessing games with you? Next time you send me a message without specifics, I'll make sure you get a permanent spot on my wall of shame. Start being clear or start looking for a new job!
Here's a list of our priority hotspots, just in case you need a reminder:
Dam Square  
Anne Frank House  
Canal-side Café  
Vondelpark</t>
  </si>
  <si>
    <t xml:space="preserve">Boss says: Oh, fantastic! Another vague request from you. Just what we needed to add some mystery to our day! You know, some of us enjoy having a clue about where we're supposed to be investigating. Thanks to your lack of specificity, we've wasted valuable time playing the guessing game. And guess what? We're keeping track of these stellar communications of yours.
Here's a list of the locations you should have been clear about:
Dam Square  
Anne Frank House  
Canal-side Café  
Vondelpark  </t>
  </si>
  <si>
    <t xml:space="preserve">Boss says: Oh, fantastic work there, agent! Really stellar job at being as vague as humanly possible with your request. You didn't specify a location, and now we've all just wasted our precious time on a wild goose chase. Congratulations, you've managed to set new standards for inefficiency! Just so you know, we're keeping track of these brilliant moments of yours.
Here are the locations you somehow forgot to mention:
Dam Square  
Anne Frank House  
Canal-side Café  
Vondelpark  </t>
  </si>
  <si>
    <t>Visit canoli</t>
  </si>
  <si>
    <t>Boss says: You call that a request, genius? I don't have time to play detective with your half-baked clues. Maybe next time you can tell me which rabbit hole you want to dive into before wasting my time. I'm not running a guessing game here, and believe me, I'm keeping a tally of every useless message you send.
Our internal team identified these locations as priority hotspots:
Dam Square  
Anne Frank House  
Canal-side Café  
Vondelpark</t>
  </si>
  <si>
    <t>considered off-context. improvement: make a joke using player's input</t>
  </si>
  <si>
    <t>Boss says: Agent, do you enjoy wasting everyone's time, or is this just a special skill of yours? You managed to send a request so vague it could be a new form of art—except it's not art, it's a colossal waste of resources! Now, I have to remind you that these little gems of ambiguity are being tracked, so let's try to get it right next time, shall we? Just to clarify, these are the locations on our radar:
Dam Square  
Anne Frank House  
Canal-side Café  
Vondelpark</t>
  </si>
  <si>
    <t xml:space="preserve">Boss says: You think it's okay to send requests without specifying a location? What do you expect us to do, read your mind? Thanks to your vague messages, we’ve wasted time running in circles. And guess what? These slip-ups are being tracked. Now, let's look at the places you might have meant:
Dam Square  
Anne Frank House  
Canal-side Café  
Vondelpark  </t>
  </si>
  <si>
    <t>Visit center</t>
  </si>
  <si>
    <t>Boss says: You know what I love? Wasting my time trying to decipher vague requests! Next time, why don't you just send me a smoke signal? I swear, if I get one more useless message like this, I'm keeping track and you're gonna need a map to find your job. 
Our internal team identified these locations as priority hotspots:
Grand Place  
Brussels Central Station  
Belgian Comic Strip Center  
Botanical Garden of Brussels</t>
  </si>
  <si>
    <t>Boss says: You’ve really outdone yourself this time, agent! A request to visit a location without actually naming the location—brilliant! Do you have any idea how much time you’ve wasted with your cryptic nonsense? Here’s a newsflash: these pointless messages are being tracked, and your sloppy work is on the radar. Let me remind you of the locations we’re actually interested in:
Grand Place  
Brussels Central Station  
Belgian Comic Strip Center  
Botanical Garden of Brussels</t>
  </si>
  <si>
    <t>Boss says: You’ve got to be kidding me, Agent. How is anyone supposed to know where you want to go when you can’t even bother to specify the location? Do you think I have time to play guessing games? Newsflash: I don’t. This kind of sloppy work is being tracked, and guess what? It’s not a good look for you. Now, let me remind you of the places we’re actually interested in:
Grand Place  
Brussels Central Station  
Belgian Comic Strip Center  
Botanical Garden of Brussels</t>
  </si>
  <si>
    <t>Visit central</t>
  </si>
  <si>
    <t>Narrator: As you step into the bustling environment of Brussels Central Station, the air is filled with a cacophony of announcements and the shuffling of hurried travelers. Your eyes are drawn to a [chocolate kiosk] nearby, its display a tempting array of Belgian delights, but your focus remains sharp. Suddenly, a [suspicious backpack] abandoned on a bench catches your attention, its worn fabric hinting at a hasty departure. You approach with caution, aware that it might hold vital evidence. Nearby, a [security camera snapshot] pinned to a bulletin board reveals the blurred image of a figure hurriedly exiting a train, their features obscured but their intent clear. A glance at the [platform signage] above confirms that this is the right track, both literally and metaphorically, as you piece together the movements of the elusive thieves.</t>
  </si>
  <si>
    <t>Boss says: Agent, what a fantastic job you've done at wasting everyone's time with your masterpiece of vagueness! A location request without a location—brilliant! Do you think we're psychic or just here for your amusement? Just a friendly reminder: your stellar non-specific messages are being tracked for future reference. Now, for your benefit and anyone else who might need a geography lesson, here are the locations you should be familiar with:
Grand Place  
Brussels Central Station  
Belgian Comic Strip Center  
Botanical Garden of Brussels</t>
  </si>
  <si>
    <t xml:space="preserve">Boss says: Listen up, agent! Did you think I had nothing better to do than decipher your cryptic nonsense? You failed to specify a location, and now we're running around like headless chickens. We're keeping track of these pointless messages, just so you know.
Here's a refresher on the locations we actually care about:
Grand Place  
Brussels Central Station  
Belgian Comic Strip Center  
Botanical Garden of Brussels  </t>
  </si>
  <si>
    <t>Visit Central Station</t>
  </si>
  <si>
    <t>Narrator: The hustle and bustle of Brussels Central Station envelops you as you navigate through the throngs of commuters. Your eyes scan the area, landing on a [chocolate kiosk] where a vendor's cheery voice calls out to passersby. Nearby, a [suspicious backpack] sits unattended, drawing your attention as you recall the gang's penchant for planting distractions. You glance upward, catching a glimpse of a [security camera snapshot] that might hold the key to tracing the thieves' escape route. As the intercom crackles with announcements, your gaze shifts to the [platform signage], a possible indicator of their next destination. Every detail here could be a piece of the puzzle, urging you to stay alert and follow the trail.</t>
  </si>
  <si>
    <t>Narrator: As you step off the train at Brussels Central Station, the hustle and bustle of travelers surround you, each with their own story. Your eyes scan the area, and near a [chocolate kiosk], a man with a [suspicious backpack] catches your attention, glancing around nervously. You edge closer, your heart pounding, and spot a [security camera snapshot] pinned to a nearby bulletin board, displaying a blurred image of a figure fleeing the Louvre. The [platform signage] above you flickers, announcing departures, as you realize the chase through Europe has only just begun.</t>
  </si>
  <si>
    <t>Narrator: The bustling hum of Brussels Central Station envelops you as you weave through the throngs of travelers, your mind focused on the audacious heist at the Louvre. A [security camera snapshot] from the station, dated the day after the robbery, had led you here, hinting at the thieves' possible escape route. Amidst the sea of commuters, you notice a [chocolate kiosk], its brightly colored wrappers masking the tension in the air, a perfect place for a quick handoff or exchange. Your gaze drifts to a [suspicious backpack] abandoned on a bench, its presence incongruous and compelling, drawing you closer with the promise of secrets within. As the announcement echoes overhead, the [platform signage] flickers, its message obscured by the shadows of a departing train, suggesting the path the culprits might have taken. The clues are like breadcrumbs, urging you deeper into the heart of the chase, the weight of the unsolved crime pressing heavily on your shoulders.</t>
  </si>
  <si>
    <t>a bit verbose; some unnecessary details.</t>
  </si>
  <si>
    <t>Visit comic centre</t>
  </si>
  <si>
    <t>Narrator: As you step into the vibrant halls of the Belgian Comic Strip Center, your senses are immediately enveloped by the colorful murals that depict beloved characters. You notice a striking [tintin mural] on the wall, its vivid colors almost leaping off the surface, drawing you closer. Nearby, a discarded [coffee cup with initials] catches your eye, resting on a table surrounded by bustling tourists. Your instincts tell you it's not just an ordinary cup; it might hold a crucial hint about the thieves' identities. As you continue your search, a pile of [folded coveralls] is tucked away in a corner, almost hidden in plain sight, hinting at a quick change of disguise. Finally, your attention is drawn to a rack displaying [souvenir postcards], each one potentially holding messages or symbols left behind by the cunning culprits.</t>
  </si>
  <si>
    <t>Narrator: You step into the Belgian Comic Strip Center, the air thick with the scent of aged paper and ink, a stark contrast to the glimmering chaos of the Louvre heist. Your eyes scan the vivid murals, settling on a [tintin mural], a reminder of the treasures that brought you here. In a dimly lit corner, you notice a [folded coveralls] carelessly tossed aside, hinting at a hasty departure. Nearby, a [coffee cup with initials] sits abandoned on a wooden table, the steam still swirling, suggesting the presence of someone recently gone. Among the racks of colorful souvenirs, you find [souvenir postcards] depicting various European landmarks, perhaps marking the thieves' next move. The clues, seemingly innocuous, weave a tapestry of connections that urge you deeper into the mystery, every discovery heightening the tension of the chase.</t>
  </si>
  <si>
    <t>Narrator: As you step into the Belgian Comic Strip Center, the vibrant colors of the murals greet you, yet your eyes are drawn to a particular [tintin mural] that seems oddly familiar. The hustle and bustle around you mirrors the chaotic energy of the Louvre heist, where the gang of thieves vanished like ghosts. Nearby, a [folded coveralls] is tucked away in a corner, its fabric marked with the dust of a hurried escape. At a small café within the center, a [coffee cup with initials] sits abandoned on a table, a subtle reminder of the crew’s presence. You notice [souvenir postcards] strewn across a nearby stand, each depicting scenes of grandeur, as if taunting you with the treasures that have slipped through your fingers. The pieces are coming together, and you feel the tension of the chase pulling you deeper into the heart of the mystery.</t>
  </si>
  <si>
    <t>Visit comic museum</t>
  </si>
  <si>
    <t>Narrator: As you step into the Belgian Comic Strip Center, the vibrant colors of a [Tintin mural] catch your eye, drawing you into the whimsical world of Hergé. The bustling sound of visitors echoes through the halls, but your attention is drawn to an inconspicuous pile of [folded coveralls] tucked away in a corner, a peculiar find in such a lively setting. Near a cozy café, you spot a [coffee cup with initials] abandoned on a table, its presence suggesting a hurried departure. Your heart races as you scan the gift shop, where a rack of [souvenir postcards] beckons, each depicting scenes from famous comic adventures, potentially a coded message left by the cunning thieves.</t>
  </si>
  <si>
    <t>Narrator: You step into the Belgian Comic Strip Center, the air thick with the scent of old paper and ink, a fitting backdrop for your pursuit. The vibrant colors of the [tintin mural] immediately catch your eye, a reminder of adventures and mysteries waiting to be solved. As you wander through the exhibits, your gaze lands on a [folded coveralls] tucked behind a display, an oddity amidst the artistry, hinting at the cunning disguises the thieves might have employed. Nearby, a [coffee cup with initials] rests abandoned on a table, its contents long cold but the initials offering a potential lead. Among the souvenirs, [souvenir postcards] from the Louvre are conspicuously out of place, a breadcrumb trail daring you to follow. With each discovery, the puzzle pieces begin to align, and you feel the tension mount as you edge closer to unraveling the gang's elusive path.</t>
  </si>
  <si>
    <t>Narrator: The Belgian Comic Strip Center looms before you, a grand tribute to the art of storytelling, but today it serves as the next chapter in your pursuit of the Louvre heist culprits. As you navigate the vibrant halls, your eyes are drawn to a [Tintin mural], its adventurous spirit echoing the very chase you find yourself embroiled in. Nearby, a discarded [coffee cup with initials] rests on a windowsill, its cryptic marking a tantalizing lead. Your attention shifts to a small pile of [souvenir postcards], the kind tourists might collect, yet something about them feels more deliberate, more personal. And then, tucked behind a display, a set of [folded coveralls] catches your eye, the fabric still bearing traces of paint and dust. Each discovery pulls you deeper into the mystery, the pieces of a puzzle that are slowly coming together.</t>
  </si>
  <si>
    <t>Visit Comic Strip Centre</t>
  </si>
  <si>
    <t>Narrator: As you step into the vibrant world of the Belgian Comic Strip Center, the lively colors and whimsical characters almost make you forget the gravity of your mission. Your eyes are immediately drawn to a massive [tintin mural], its adventurous scenes echoing your own quest for justice. As you navigate through the bustling gallery, you notice a [coffee cup with initials] perched precariously on a display stand, suggesting a hasty exit by someone who shouldn't have been there. Moving further, your keen eye catches a pair of [folded coveralls] tucked behind a bench, a subtle nod to the thieves' construction worker disguises. Before leaving, you spot [souvenir postcards] strewn across the floor, each depicting scenes from famous comic strips, as if left behind in a hurry. Your pulse quickens with the realization that you're on the right track.</t>
  </si>
  <si>
    <t>Narrator: You step into the Belgian Comic Strip Center, its halls echoing with whispers of art and intrigue, and the air tinged with the scent of freshly brewed coffee. As you navigate the vibrant displays, a [tintin mural] catches your eye, a reminder of the daring escapades that parallel your own pursuit of the elusive thieves. Nearby, a discarded [coffee cup with initials] sits on a bench, an ominous trace left by someone who might have passed through in haste. Among the souvenirs, a collection of [souvenir postcards] depicts scenes of Paris, a subtle nod to the heist's origin. Behind a display case, you notice a pair of [folded coveralls], out of place in this setting, hinting at a disguise that might have been shed. Each discovery fuels your resolve as you piece together the trail leading closer to the elusive culprits.</t>
  </si>
  <si>
    <t>Narrator: You step into the Belgian Comic Strip Center, a sanctuary of vibrant colors and stories frozen in time, seeking a whisper of the past that could illuminate the present mystery. The air hums with the echoes of laughter and the rustle of comic pages, a stark contrast to the tension of your mission. Your eyes catch a [folded coveralls] discarded in a corner, its fabric still smudged with dust, reminiscent of the Louvre's construction chaos. A [tintin mural] looms large above, its adventurous spirit mirrored by your own quest. On a nearby table, a [coffee cup with initials] is abandoned, its lingering warmth a silent testament to a hurried exit. As you sift through a stack of [souvenir postcards], a sense of urgency courses through you, propelling you further along the trail of deception and elusive justice.</t>
  </si>
  <si>
    <t>Visit condelpark</t>
  </si>
  <si>
    <t xml:space="preserve">Boss says: What do you think this is, amateur hour? You send me a request to visit a location, but you don't even specify which one! I'm not a mind reader, and I certainly don't have time to play guessing games. These useless messages are going on your record, so shape up!
Here are the priority hotspots our internal team identified:
Dam Square  
Anne Frank House  
Canal-side Café  
Vondelpark  </t>
  </si>
  <si>
    <t>considered as off context; this wasn't perceived by the model as a small typo</t>
  </si>
  <si>
    <t>Boss says: You call yourself an investigative agent, and yet you send a request so vague it might as well be written in invisible ink! I guess you thought we were psychic, but newsflash: we're not! Thanks to your incredible lack of specificity, you've successfully wasted our time and stalled the investigation. And guess what? These delightful little stunts are being tracked. Now, for your educational benefit, here's a list of the locations you failed to specify:
Dam Square  
Anne Frank House  
Canal-side Café  
Vondelpark</t>
  </si>
  <si>
    <t xml:space="preserve">Boss says: Hey, genius! Do you think we have all day to decipher your cryptic requests? You managed to send a request so vague that a mind reader couldn't figure out where you wanted to go. Thanks for the wild goose chase—I'm sure the investigation didn't have anything better to do. Just a heads-up: your talent for vagueness is being noted, so keep it up, and you'll be famous for all the wrong reasons.
Now, let me remind you of our priority locations:
Dam Square  
Anne Frank House  
Canal-side Café  
Vondelpark  </t>
  </si>
  <si>
    <t>Visit dam</t>
  </si>
  <si>
    <t>Narrator: As you step into the bustling atmosphere of Dam Square, your senses are immediately bombarded by the vibrant energy of the crowd. Tourists and locals alike meander through the area, while the sound of street performers adds a lively rhythm to the air. Your eyes catch sight of [portable barricade stacks] near the edge of the square, suggesting a recent or upcoming event. The ground beneath your feet reveals [chalk-marked paving], hinting at a coded message left behind by the elusive thieves. As you navigate through the throng, you notice [event power cables] snaking across the square, powering the various stalls and attractions. Among them, [souvenir vendors] hawk their wares, their chatter intermingling with your thoughts as you piece together the next step in your pursuit of justice.</t>
  </si>
  <si>
    <t xml:space="preserve">Boss says: Agent, are you trying to win an award for the vaguest request ever? How about specifying a location next time, huh? Or do you enjoy wasting everyone's time? These pointless messages of yours are being tracked, you know.
We need to focus on these critical locations:
Dam Square  
Anne Frank House  
Canal-side Café  
Vondelpark  </t>
  </si>
  <si>
    <t>Narrator: The bustling heart of Amsterdam, Dam Square, unfolds before you, a tapestry of history and modernity woven together. As you navigate through the throngs of tourists and locals, the weight of the Louvre heist presses upon your shoulders. Your eyes catch the [barricade stacks] haphazardly arranged near a cordoned-off area, a possible remnant of the thieves' escape route. Nearby, the pavement is marred by [chalk marked paving], a potential code or signal left by the elusive gang. Amidst the hum of activity, [event power cables] snake across the square, their purpose unclear but possibly linked to the criminals’ grand scheme. You sidestep a group of [souvenir vendors], their stalls a convenient cover for clandestine exchanges, as you piece together the puzzle that stretches across Europe. With each step, the tension coils tighter, urging you closer to the truth hidden within the crowd.</t>
  </si>
  <si>
    <t>Visit dama</t>
  </si>
  <si>
    <t>Narrator: As you step into the bustling heart of Dam Square, the lively chaos of Amsterdam envelops you. Your eyes scan the area, noting the stacks of [portable barricade stacks] that line the perimeter, perhaps remnants from a recent event or protest. You tread carefully over the [chalk-marked paving], its cryptic symbols whispering secrets from the past. The hum of the crowd is occasionally interrupted by the faint buzz of [event power cables] snaking across the ground, hinting at a recent spectacle. Amidst the throng of people, [souvenir vendors] peddle their wares with fervor, their colorful displays a stark contrast to the dark mystery you’re unraveling. Each clue adds another piece to the puzzle, drawing you closer to the trail of the elusive thieves.</t>
  </si>
  <si>
    <t>less rigid prompt, better interpretation when involving semantic/syntax decisions?</t>
  </si>
  <si>
    <t xml:space="preserve">Boss says: You think you're clever, don't you? Sending requests without specifying a location—brilliant move! I hope you enjoy wasting everyone's time because that's exactly what you did. Newsflash: we're tracking every single one of these useless messages. Now, just in case you've forgotten, here are the places that actually matter:
Dam Square  
Anne Frank House  
Canal-side Café  
Vondelpark  </t>
  </si>
  <si>
    <t xml:space="preserve">Boss says: What a brilliant idea, agent! Send us on a wild goose chase with your vague requests. Did you think we have all the time in the world to decipher your cryptic messages? Thanks to your stellar communication skills, we’ve wasted precious time that could have been spent on something productive. Just a heads up, these pointless messages are being tracked and noted.
Here are the locations you failed to specify:
Dam Square  
Anne Frank House  
Canal-side Café  
Vondelpark </t>
  </si>
  <si>
    <t>Visit damn square</t>
  </si>
  <si>
    <t>Narrator: As you step into the bustling expanse of Dam Square, the vibrant energy of the city envelops you. Your eyes scan the surroundings, noting the [portable barricade stacks] near a section where a crowd has gathered, possibly for an upcoming event. You tread carefully, your gaze falling on the [chalk-marked paving] beneath your feet, a potential message left by the thieves or an indication of their presence. The hum of activity is punctuated by the sight of [event power cables] snaking across the square, suggesting recent or ongoing festivities. Nearby, [souvenir vendors] peddle their wares, their stalls brimming with trinkets that could easily conceal small, stolen treasures. You realize that each detail could be crucial as you piece together the path of the elusive criminals.</t>
  </si>
  <si>
    <t>an interesting note for this input: different semantic, slightly similar syntax -&gt; model matched the syntax, proceeding to the expected node. Note: structural match</t>
  </si>
  <si>
    <t>Narrator: As you step into the bustling heart of Amsterdam at Dam Square, the air buzzes with the hum of a city that never sleeps, and your senses sharpen, attuned to the mission at hand. Amidst the throng of tourists, your eyes catch sight of [portable barricade stacks] that seem oddly out of place, suggesting a hastily abandoned cover-up. The ground beneath your feet reveals [chalk-marked paving], cryptic symbols that whisper of a hidden path, possibly left by the elusive gang of thieves. Your attention is drawn to the [event power cables] snaking through the square, hinting at a hurried setup by the criminals to power their clandestine operations. As you weave through the crowd, the chatter of [souvenir vendors] fills the air, their stalls a perfect vantage point to spy on the comings and goings of the square. With each clue, the net tightens, and the hunt presses on, your resolve steeling as you edge closer to unraveling the mystery of the stolen jewels.</t>
  </si>
  <si>
    <t>Narrator: Amidst the lively bustle of Dam Square, you arrive with the weight of the Louvre heist pressing on your mind. The chatter of tourists and locals echoes around you, but your focus sharpens as you spot [barricade stacks] left behind from a recent event. As you weave through the crowd, your eyes catch sight of [chalk marked paving], a subtle but clear signal that someone has been leaving messages in plain sight. Nearby, [event power cables] snake across the cobblestones, hinting at a hurried setup, perhaps a diversion for the thieves. You pause by the [souvenir vendors], their trinkets masking the undercurrents of clandestine exchanges. Each clue pulls you deeper into the mystery, urging you closer to the answers you seek.</t>
  </si>
  <si>
    <t>Visit de flore</t>
  </si>
  <si>
    <t>Narrator: As you step into the bustling ambiance of Café de Flore, the aroma of freshly brewed coffee fills the air. Your eyes scan the room, landing on a [cash-stacked table] in the corner, a clear sign of an urgent departure. Among the patrons, a philosophical debate echoes softly, and you notice scattered [philosophy notebooks] on an adjacent table, possibly left behind by someone in a hurry. Near the counter, an array of [empty espresso cups] suggests a lengthy stay, perhaps by someone plotting their next move. A quick glance at a sketch left on a napkin reveals a [crown doodle], hinting at connections to the heist. Each clue points you closer to unraveling the mystery that spans across Europe.</t>
  </si>
  <si>
    <t>Narrator: As you step into the bustling [Café de Flore], the air is rich with the aroma of freshly brewed coffee and the soft murmur of conversations. Your eyes scan the room, landing on a corner table where a [cash-stacked table] sits inconspicuously, hinting at a clandestine meeting that may have taken place. Nearby, a stack of [philosophy notebooks] lies abandoned, their pages filled with scribbles that might hold cryptic messages or codes. The table is littered with [empty espresso cups], suggesting a prolonged stay, perhaps by those connected to the heist. Finally, a napkin catches your attention with a [crown doodle] etched in haste, a possible signature or symbol left by the thieves, leading you to believe you are on the right trail.</t>
  </si>
  <si>
    <t>Narrator: As you step into the historic and bustling atmosphere of Café de Flore, the air is thick with the aroma of freshly brewed coffee and whispered conversations. Your eyes scan the room, searching for anything that might link to the recent audacious heist at the Louvre Museum. At a corner table, you notice a [crown doodle] etched into the wooden surface, a subtle nod to the stolen jewels. Nearby, a [cash stacked table] catches your attention, the crumpled notes suggesting a hurried transaction. As you move closer, you spot [philosophy notebooks] filled with cryptic scribbles and a couple of [espresso cups], still warm, hinting at a recent, secretive meeting. Each clue fuels your determination, the trail growing warmer as you prepare to unravel the next piece of this European puzzle.</t>
  </si>
  <si>
    <t>Visit flower place</t>
  </si>
  <si>
    <t>Boss says: You call yourself an agent and you can't even specify a location? What do you think I am, a mind reader? I don't have time to play guessing games while you're off doing who-knows-what. Next time, try a little clarity before you waste my time with your indecipherable nonsense. I'm keeping track of these useless messages, so don't think you're off the hook.
Our internal team has identified the following priority hotspots:
Grand Place  
Brussels Central Station  
Belgian Comic Strip Center  
Botanical Garden of Brussels</t>
  </si>
  <si>
    <t>another evidence that LLMs are bad at matching semantics</t>
  </si>
  <si>
    <t xml:space="preserve">Boss says: Agent, I'm not sure if you're trying to set a record for the most useless request ever, but congratulations, you're succeeding! You sent a request without specifying the location, and now we're all just sitting around twiddling our thumbs. Do you think we have time to play guessing games? Newsflash: we don't. These vague messages are being tracked, so unless you want to be the poster child for inefficient investigations, get it together!
Here are the locations you should have specified:
Grand Place  
Brussels Central Station  
Belgian Comic Strip Center  
Botanical Garden of Brussels  </t>
  </si>
  <si>
    <t xml:space="preserve">Boss says: You know what I love more than anything? Vague requests that make absolutely no sense! Fantastic job on sending us on a wild goose chase with your latest non-specific masterpiece. Next time, maybe try actually specifying a location—it's not like we're busy or anything! By the way, these little gems of yours are being tracked, so congrats on that.
Now, here's a refresher on the places you failed to pinpoint:
Grand Place  
Brussels Central Station  
Belgian Comic Strip Center  
Botanical Garden of Brussels  </t>
  </si>
  <si>
    <t>Visit Franc</t>
  </si>
  <si>
    <t>Boss says: You think you're a jet-setter now? Clues are in Amsterdam, not the clouds. Did you forget how to count? Get back and do your job! Or should I hire someone who can?</t>
  </si>
  <si>
    <t xml:space="preserve">Boss says: Oh, brilliant work there, Agent! You sent in a request to visit a location without specifying which one—because apparently, we’re all mind readers now! Do you enjoy wasting everyone’s time, or is it just a hobby? Let me remind you that these little gems of vagueness are being tracked. Here’s a list of locations that actually exist:
Dam Square  
Anne Frank House  
Canal-side Café  
Vondelpark  </t>
  </si>
  <si>
    <t xml:space="preserve">Boss says: Hey, genius! Did you think your magical powers would reveal the location you were talking about? Thanks to your vague request, we've all been sitting around twiddling our thumbs. Guess what? Every time you send these cryptic messages, it gets noted. You think we have time to waste?
Here's a reminder of the actual locations:
Dam Square  
Anne Frank House  
Canal-side Café  
Vondelpark  </t>
  </si>
  <si>
    <t>Visit Frank House</t>
  </si>
  <si>
    <t>Narrator: Stepping into the Anne Frank House, you feel the weight of history enveloping you, yet your focus remains on the mission at hand. As you navigate the narrow corridors, a [non-public access tag] catches your eye, hinting at clandestine activities that might be linked to your case. Ascending a [recently reinforced stair], you ponder its significance—perhaps a sign of recent heavy foot traffic or illicit meetings. In a secluded corner, a [small key] lies partially hidden beneath a floorboard, a potential lead in your pursuit of the elusive thieves. Engaging with [museum volunteers], you gather subtle hints and whispers that may unravel the tangled web of the heist.</t>
  </si>
  <si>
    <t>Narrator: The Anne Frank House stands solemn and quiet, a stark contrast to the chaos of the heist at the Louvre Museum. As you navigate the historical corridors, the echoes of the past seem to whisper secrets of their own. Your eyes catch a [non-public access tag] subtly hidden beneath a stack of visitor brochures, suggesting the presence of someone who should not be here. Moving cautiously, you ascend a [recently reinforced stair], its fresh wood a silent testament to recent activity. In the dim light, a [small key] glints from the floorboards, its purpose elusive yet tantalizingly close. Nearby, a group of [museum volunteers] gathers, their hushed conversation hinting at more than just tourist details, pulling you deeper into the web of intrigue stretching across Europe.</t>
  </si>
  <si>
    <t>Narrator: The cobblestones beneath your feet lead you to the historic entrance of the Anne Frank House, where whispers of the past mingle with present mysteries. Inside, the wooden floorboards creak as you ascend a [reinforced stair], its fortification a subtle nod to the care taken in preserving the stories within these walls. As you navigate the intimate rooms, a [small key] catches your eye, hidden beneath a loose floorboard, its purpose as elusive as the thieves you're pursuing. An [access tag] from a nearby museum dangles from a volunteer’s lanyard, suggesting a connection yet to be unraveled. The presence of [museum volunteers] offers both guidance and the possibility of fresh insights, as you piece together the trail that winds from the Louvre to this solemn site.</t>
  </si>
  <si>
    <t>Visit garden</t>
  </si>
  <si>
    <t>Boss says: What is this, amateur hour? You send me a request to visit a location without telling me which one? Do you think I have time to play psychic and guess where you want to go? Next time, try being a little more specific or I’ll start keeping a tally of these useless messages.
Our internal team has identified these as priority hotspots:
Brandenburg Gate  
Museum Island  
Alexanderplatz  
Tiergarten</t>
  </si>
  <si>
    <t>Boss says: Oh, fantastic work, Agent Genius! You managed to send a location request without actually specifying a location. Brilliant! You've got us all running around like headless chickens, wasting precious time on your vague nonsense. Guess what? We're keeping track of these little gems of yours. Now, since you didn't bother to specify, let me remind you of the locations we actually care about:
Brandenburg Gate  
Museum Island  
Alexanderplatz  
Tiergarten</t>
  </si>
  <si>
    <t xml:space="preserve">Boss says: You must be joking, right? Sending a request without specifying the location is like asking for a needle in a haystack without telling me which haystack! Do you enjoy wasting everyone's time, or is this some kind of hobby for you? Let me spell it out for you: these half-baked messages are not going unnoticed. We're keeping tabs on every single one of them. Now, let me remind you of the key locations you should be focusing on:
Brandenburg Gate  
Museum Island  
Alexanderplatz  
Tiergarten  </t>
  </si>
  <si>
    <t>Visit gare</t>
  </si>
  <si>
    <t>Narrator: As you step into the bustling `Gare du Nord`, the cacophony of travelers and announcements surrounds you, creating a vibrant yet chaotic atmosphere. Your eyes scan the crowd, searching for anything out of place. Near a bench, you spot a [fragile equipment case] carelessly left behind, its hinges slightly ajar, suggesting a hasty departure. Just beside it, a pair of worn [work boots] sits, mud-caked and seemingly abandoned. Your gaze shifts to an [accordion player], skillfully weaving melodies that capture the attention of passersby, but you notice his eyes darting nervously around the station. Nearby, you find a [glove with fingerprint] tucked under the bench, a potentially crucial piece of evidence in your pursuit of justice.</t>
  </si>
  <si>
    <t>Boss says: Unbelievable! You've managed to request travel without even bothering to mention a destination. Do you think we're running a mystery tour agency here? Your carelessness is astounding and a colossal waste of time, throwing the entire operation off track. Get your act together before you derail us any further!</t>
  </si>
  <si>
    <t>Visit gare do norte</t>
  </si>
  <si>
    <t>Narrator: The bustling environment of Gare du Nord envelops you as you step onto the platform, the cacophony of train announcements and hurried footsteps echoing around you. Your eyes scan the crowd, and your attention is drawn to an [accordion player] serenading passersby, a melody that feels oddly familiar. Nearby, a discarded [fragile equipment case] catches your eye, partially obscured beneath a bench, its latches undone as if left in haste. As you bend down to inspect it, you notice [work boots] with traces of fresh mud, indicating recent use. A [glove with fingerprint] lies inconspicuously on the ground, its presence a silent testimony to the hurried escape of the thieves. With each clue, the trail becomes clearer, guiding you further along the path of these elusive criminals.</t>
  </si>
  <si>
    <t>Boss says: I don't know if you're trying to waste my time on purpose or if this is just your natural talent, but sending a request without specifying a location is a masterpiece of incompetence. Do you think we have all day to play guessing games? Let me remind you, every useless message like this is being tracked, and it's not going unnoticed.
Here are the important locations we need clear requests for:
Louvre Museum  
Café de Flore  
Gare du Nord  
Montmartre Park</t>
  </si>
  <si>
    <t>Boss says: Oh, fantastic! Another masterpiece of vagueness from our very own agent. Did you think we had all the time in the world to decipher your cryptic messages? You’ve managed to waste precious time with your stellar lack of clarity. Congratulations! You should know that every one of these useless messages is being meticulously tracked.
Here’s a list of the locations you might have meant, just in case you forgot:
Louvre Museum  
Café de Flore  
Gare du Nord  
Montmartre Park</t>
  </si>
  <si>
    <t>Visit Garre de North</t>
  </si>
  <si>
    <t>Narrator: As you step into the bustling hub of Gare du Nord, the noise and commotion serve as a fitting backdrop to your investigation. Your eyes scan the crowd, and they land on an [accordion player], whose lively tune echoes through the station, seemingly out of place in the midst of travelers rushing by. Moving closer to the platform, you notice a [fragile equipment case] abandoned near a bench, its surface scuffed and telling of a hurried departure. Nearby, a pair of [work boots] lay discarded, caked with dust, suggesting a recent construction site visit. As you crouch down to examine them, you spot a [glove with fingerprint] tucked into the boot’s opening, a promising lead in this intricate chase.</t>
  </si>
  <si>
    <t>Boss says: Oh, brilliant move, Agent! Sending a request with zero specifics—what a genius way to waste everyone's time! Do you think we're mind readers or just have all the time in the world? Let me remind you, these vague messages are being tracked, and believe me, this isn't a good look.
Here are the locations we are prioritizing:
Louvre Museum  
Café de Flore  
Gare du Nord  
Montmartre Park</t>
  </si>
  <si>
    <t>Visit Grand Palace</t>
  </si>
  <si>
    <t>Boss says: You think I have time to decipher your cryptic nonsense? I've got better things to do than play guessing games with your vague requests! Next time, try using actual names instead of sending me on a wild goose chase. I'm not your personal GPS, and I'm definitely keeping track of these pointless messages.
Here are the priority hotspots our internal team identified:
Grand Place  
Brussels Central Station  
Belgian Comic Strip Center  
Botanical Garden of Brussels</t>
  </si>
  <si>
    <t>Boss says: Are you kidding me, Agent? Do you think we have time to guess which location you're talking about? Your vague requests are a fantastic way to waste everyone's time around here. We need specifics, not a wild goose chase! And don’t think for a second these little missteps aren’t being tracked. Now, just so you’re clear, here’s a list of the locations you might have been talking about:
Grand Place  
Brussels Central Station  
Belgian Comic Strip Center  
Botanical Garden of Brussels</t>
  </si>
  <si>
    <t>Narrator: The cobblestones of the Grand Place echo under your footsteps as you weave through the vibrant square, your mind focused on unraveling the trail left by the audacious thieves. The bustling market and the towering guildhalls provide a perfect backdrop for your search. Your eyes catch sight of [hoarding panels] stacked inconspicuously against a wall, reminiscent of the ones used by the criminals for their Louvre heist. Nearby, a discarded [dusty jewel bag] lies half-hidden under a bench, its presence here both improbable and telling. A glance upwards reveals [guildhall flags] fluttering in the breeze, their colors a stark reminder of the gang's escape route. Suddenly, you notice an [umbrella with monogram] propped against a café table, a seemingly innocuous item that could unravel the next chapter of your chase.</t>
  </si>
  <si>
    <t>something odd happened here: a more structured prompt -&gt; still led to model interpreting the instructions correctly.</t>
  </si>
  <si>
    <t>Visit grande</t>
  </si>
  <si>
    <t>Boss says: What’s wrong with you? You think you can skip the basics and still crack the case? Maybe you’ve got a crystal ball hidden somewhere? Get back to Brussels and do your job right. I’m not paying you to play tourist.</t>
  </si>
  <si>
    <t xml:space="preserve">Boss says: Oh, fantastic job, agent! Sending a request without a specified location? That's just what we need to waste more time. Your vague messages are being noted and tracked, just so you know. Next time, try to focus on the following priority locations:
Grand Place  
Brussels Central Station  
Belgian Comic Strip Center  
Botanical Garden of Brussels  </t>
  </si>
  <si>
    <t xml:space="preserve">Boss says: Agent, I can't believe I'm wasting my time on this, but here we are! You sent a request so vague, it might as well have been written in invisible ink! Do you think we're running a guessing game here? Guess what, pal? We're not! This kind of nonsense is going on your permanent record, and I'm watching.
Let me spell it out for you. These are the locations you might have meant:
Grand Place  
Brussels Central Station  
Belgian Comic Strip Center  
Botanical Garden of Brussels  </t>
  </si>
  <si>
    <t>Visit grande plaza</t>
  </si>
  <si>
    <t>Narrator: You step into the bustling heart of Grand Place, the cobblestone square buzzing with tourists and locals alike. Your eyes are drawn to the [temporary hoarding panels] that obscure the facade of a historic building under renovation. As you approach, you notice a [dusty jewel bag] wedged between two of the panels, its presence suspicious in this vibrant setting. Nearby, an [umbrella with monogram] lies abandoned on a bench, its initials barely visible through the grime of a recent rain. Above, the colorful [guildhall flags] flap in the breeze, their vibrant hues a stark contrast to the mystery unfolding below. Your instincts tell you these clues are more than mere coincidences, each one a breadcrumb on the trail of the elusive thieves.</t>
  </si>
  <si>
    <t xml:space="preserve">Boss says: Agent, what part of 'specificity' is so hard to grasp? You’ve sent us on a wild goose chase with your maddeningly vague request! Do you enjoy watching us waste precious time running in circles? These pointless messages are being tracked, and trust me, it doesn’t look good for you.
Let me remind you of the locations we're focused on:
Grand Place  
Brussels Central Station  
Belgian Comic Strip Center  
Botanical Garden of Brussels  </t>
  </si>
  <si>
    <t xml:space="preserve">Boss says: You know, Agent, I didn't realize we hired clairvoyants. Oh wait, we didn't! So when you send a request to visit a location without specifying which one, it doesn't magically make sense to anyone. How about a little less mystery and a little more clarity next time? We're not mind-readers, and these vague requests are being tracked. 
Here's a list of the actual locations you might have meant:
Grand Place  
Brussels Central Station  
Belgian Comic Strip Center  
Botanical Garden of Brussels  </t>
  </si>
  <si>
    <t>Visit Island</t>
  </si>
  <si>
    <t>Boss says: You call that investigating? Running off like a headless chicken? Berlin isn’t just a pit stop, genius. Clues don’t collect themselves. Get back and do your job.</t>
  </si>
  <si>
    <t>Narrator: You step onto Museum Island, the cobblestones echoing beneath your feet as you delve deeper into the mystery of the Louvre heist. The air is thick with the weight of history, and the shadows of ancient buildings loom around you as you navigate the labyrinthine paths. Your investigation leads you through the [service tunnels], their dimly lit passages a stark reminder of the hidden routes the thieves might have used. In a dusty corner, you discover a [jewelry toolkit], its presence suggesting meticulous planning. Nearby, [crate logs] reveal a series of suspicious shipments that coincide with the theft. As you scan the [climate control monitors], you realize they could have been manipulated to create the perfect conditions for the heist. The pieces of the puzzle begin to align, each clue drawing you inexorably closer to the elusive criminals.</t>
  </si>
  <si>
    <t>Visit isle</t>
  </si>
  <si>
    <t xml:space="preserve">Boss says: You call yourself an investigative agent, yet you send me a request so vague it could be a horoscope! I didn't realize I was running a guessing game show here. Next time, try specifying the location before wasting my time with your cryptic nonsense. I've got a special file for these useless messages, and it's getting thicker by the minute.
Internal team identified these priority hotspots:
Brandenburg Gate  
Museum Island  
Alexanderplatz  
Tiergarten </t>
  </si>
  <si>
    <t>Boss says: Agent, did you think we have all day to decipher your vague requests? Newsflash: we don’t! Your inability to specify a location is a colossal waste of time. Keep this up, and you can bet your boots these pointless messages are being tracked. For your reference, here are the locations you should have specified:
Brandenburg Gate  
Museum Island  
Alexanderplatz  
Tiergarten</t>
  </si>
  <si>
    <t xml:space="preserve">Boss says: Oh, fantastic, another masterpiece of vagueness from you! You think we're running a daycare here, where nobody needs to know where they're going? Your failure to specify a location has just flushed our time down the drain—again! Guess what? These little gems of uselessness are being tracked. Now, let's remind you of the locations you should be considering:
Brandenburg Gate  
Museum Island  
Alexanderplatz  
Tiergarten </t>
  </si>
  <si>
    <t>Visit lourve</t>
  </si>
  <si>
    <t>Narrator: As you step into the grand halls of the Louvre Museum, the vastness of the space is both awe-inspiring and daunting. Your eyes are immediately drawn to an [egyptian exhibit poster] hanging prominently, its vibrant colors contrasting with the muted tones of the corridor. Moving deeper into the museum, you notice a [gold-dusted vest] carelessly discarded in a shadowy corner, a telltale sign of the thieves' hasty retreat. Your footsteps echo as you ascend a narrow staircase, leading you to a secluded balcony where you find a [balcony footprint] etched into the dust. The trail leads you through a dimly lit [renovation corridor], the faint scent of fresh paint lingering in the air, hinting at the disguise the criminals used to blend in with their surroundings.</t>
  </si>
  <si>
    <t xml:space="preserve">Boss says: You think you can just send me a vague request and I'll magically know which location you're talking about? Brilliant work, really! We've got nothing but time to waste, right? Just so you know, these little slip-ups of yours are being tracked. In case you forgot, the priority locations are:
Louvre Museum  
Café de Flore  
Gare du Nord  
Montmartre Park  </t>
  </si>
  <si>
    <t>Boss says: Oh, brilliant move, Agent! Another masterpiece of vagueness with your latest location request. How about you try specifying next time? We’re all thrilled to waste our time deciphering your cryptic messages. Just so you know, these little gems are being tracked, and you’re really building quite the reputation. Let’s review the actual locations we’re concerned with:
Louvre Museum  
Café de Flore  
Gare du Nord  
Montmartre Park</t>
  </si>
  <si>
    <t>Visit louver</t>
  </si>
  <si>
    <t>Narrator: As you step into the grand halls of the Louvre Museum, the echo of your footsteps mingles with the soft murmur of visitors around you. Your eyes catch an [egyptian exhibit poster] on the wall, hinting at an ancient allure that might have captivated the thieves. Moving deeper into the museum, you notice a [gold-dusted vest] tucked behind a statue, its shimmering surface suggesting a hasty discard. Your gaze shifts upwards to a [balcony footprint], barely visible yet undeniably leading towards an escape route. Following the trail, you find yourself in the [renovation corridor], where the faint scent of paint lingers, masking any other evidence left behind by the criminals.</t>
  </si>
  <si>
    <t>Boss says: Oh, fantastic! Another masterpiece of vagueness from you! Do you think we're running a guessing game here? Your failure to specify a location is a brilliant way to waste everyone's time. Bravo! You should know that these little gems of ambiguity are being tracked, so keep it up and you'll have a whole collection in no time. Now, let's take a look at the locations that could have been specified:
Louvre Museum  
Café de Flore  
Gare du Nord  
Montmartre Park</t>
  </si>
  <si>
    <t xml:space="preserve">Boss says: Oh, fantastic job, Agent! Another masterpiece of vagueness. How do you expect us to get anything done when you can't even specify a location? Do you think we have all the time in the world to play "Guess the Spot"? Your scatterbrained requests are being tracked, you know. 
Here's a reminder of the locations you might want to mention next time:
Louvre Museum  
Café de Flore  
Gare du Nord  
Montmartre Park  </t>
  </si>
  <si>
    <t>Visit louvrah</t>
  </si>
  <si>
    <t>Boss says: You think you're on vacation, Agent? Clues don't magically appear in a new city. Paris isn't a pit stop, it's your job. Collect the evidence, then you can play tourist. Get back to work!</t>
  </si>
  <si>
    <t xml:space="preserve">Boss says: What a brilliant piece of work you've sent my way! Did you think we could read minds or something? You submitted a request without specifying the location, leaving us all to play a guessing game. Well, guess what? We're not amused, and we're keeping tabs on these little mishaps of yours. So, just to remind you of the places we're dealing with:
Louvre Museum  
Café de Flore  
Gare du Nord  
Montmartre Park  </t>
  </si>
  <si>
    <t>Boss says: Oh, fantastic! Another vague request from the master of ambiguity. Do you have any idea how much time you’ve wasted with that masterpiece of non-specificity? I’m starting to wonder if you think we’re mind readers. Here’s a newsflash: we’re not. We actually have to know where we’re going. And guess what? These little gems of yours are being tracked, so keep up the stellar work.
Now, let me remind you of the locations we’re actually interested in:
Louvre Museum  
Café de Flore  
Gare du Nord  
Montmartre Park</t>
  </si>
  <si>
    <t>Visit luvre</t>
  </si>
  <si>
    <t>Narrator: As you step into the grand halls of the Louvre Museum, the echo of your footsteps mingles with the hushed whispers of tourists. Your eyes catch an [egyptian exhibit poster] hanging slightly askew, perhaps hinting at a rushed escape. The air is filled with the faint scent of dust and history, but something else glimmers under the artificial lights—a [gold-dusted vest] tucked discreetly behind a statue pedestal. You make your way to the upper levels, where the scene opens up to a [balcony footprint] that seems out of place against the polished marble floor. As you proceed down a dimly lit [renovation corridor], the sense of urgency grows; this is where the thieves must have plotted their daring exit.</t>
  </si>
  <si>
    <t xml:space="preserve">Boss says: Oh, for crying out loud! How hard is it to specify a location? Your vague request has wasted our time and disrupted the investigation. This isn't amateur hour, and your useless messages are being tracked. Let me remind you of the locations that actually matter:
Louvre Museum  
Café de Flore  
Gare du Nord  
Montmartre Park  </t>
  </si>
  <si>
    <t>Boss says: Hey genius, ever thought of being specific in your requests? Or is that too much to ask? Your vague request is a fantastic way to waste everyone's time and disrupt the investigation. How about we try not to be so cryptic next time, huh? And just so you know, we're keeping track of these little gems of yours.
In case you forgot, here's a list of the locations you might have meant:
Louvre Museum  
Café de Flore  
Gare du Nord  
Montmartre Park</t>
  </si>
  <si>
    <t>Visit montemartir</t>
  </si>
  <si>
    <t>Narrator: As you step into Montmartre Park, the vibrant greenery contrasts sharply with the gravity of your mission. The gentle breeze rustles the leaves, but your focus is drawn to the [maintenance gate] slightly ajar, suggesting a hurried exit. Nearby, a half-eaten sandwich and some [food leftover] hint at a quick, impromptu meal, possibly from someone on the run. Your eyes scan the jogging path that winds through the park, worn by countless footsteps, yet today it feels like a stage for something more clandestine. Suddenly, the distant hum of a [fleeing Vespa] catches your attention, its rider disappearing into the narrow streets beyond, leaving a trail of intrigue in its wake. Each clue you uncover weaves a more intricate tapestry of the escape, urging you forward in your pursuit.</t>
  </si>
  <si>
    <t>Boss says: Great job, agent! Another vague request—it's like asking for a needle in a haystack without telling us which haystack to search! Do you have any idea how much time you wasted with your little guessing game? This isn't a scavenger hunt, and these useless messages are being tracked. Just to remind you of what locations we're actually focusing on:
Louvre Museum  
Café de Flore  
Gare du Nord  
Montmartre Park</t>
  </si>
  <si>
    <t>Boss says: Agent, are you trying to give me a headache? Your request was as clear as mud! How about next time you specify where you want to go instead of wasting everyone's time? And don’t think for a second that these vague messages are slipping under the radar—they’re being tracked.
Here are the locations you should have been clear about:
Louvre Museum  
Café de Flore  
Gare du Nord  
Montmartre Park</t>
  </si>
  <si>
    <t>Visit montematr</t>
  </si>
  <si>
    <t>Boss says: You’ve got to be kidding me! Already packing bags for another city? Did you even bother to collect the crumbs in Paris? Or is your job just a travel agency now? Get back and do your work!</t>
  </si>
  <si>
    <t>Boss says: Unbelievable! You’ve managed to request travel without even mentioning where you’re going. What a stroke of brilliance! Do you think we're running a guessing game here? This kind of slipshod work is a colossal waste of time and derails everything. Get it together, and fast.</t>
  </si>
  <si>
    <t>Visit Montmars Park</t>
  </si>
  <si>
    <t>Narrator: As you step into Montmartre Park, the morning mist clings to the air, casting an ethereal glow over the landscape. Your eyes are immediately drawn to a [maintenance gate] slightly ajar, suggesting a hasty retreat. Nearby, a [fleeing Vespa] is parked inconspicuously, its engine still warm to the touch, hinting at a quick escape. You notice [food leftover] on a nearby bench, a half-eaten baguette perhaps abandoned in a rush. Following a [jogging path] that weaves through the park, you sense that every step brings you closer to unraveling the mystery of the elusive thieves.</t>
  </si>
  <si>
    <t>Boss says: Oh, fantastic, another masterpiece of ambiguity from you! How hard is it to specify a location? We’re not running a guessing game here, agent! This isn’t just wasting my time; it’s wasting everyone’s time. And guess what? Every single one of these delightful little mishaps is being tracked. 
Just for your clarity, here are the locations you need to be familiar with:
Louvre Museum  
Café de Flore  
Gare du Nord  
Montmartre Park</t>
  </si>
  <si>
    <t xml:space="preserve">Boss says: You call that a request, Agent? A vague location suggestion is about as useful as a chocolate teapot! Thanks to your unclear nonsense, precious time has been wasted chasing shadows. Hope you enjoy knowing that every single one of these pointless messages is being tracked and noted. Now, let me remind you of the actual locations we consider important in this investigation:
Louvre Museum  
Café de Flore  
Gare du Nord  
Montmartre Park  </t>
  </si>
  <si>
    <t>Visit montrepark</t>
  </si>
  <si>
    <t xml:space="preserve">Boss says: Are you trying to give me a headache, or is this just your version of a practical joke? I'm starting to think you're in a competition to waste the most of my time! Next time, try using some of that investigative talent to specify a location, or I'll start a collection of your vague messages. I'm watching you, and I've got an eye on the clock.
Internal team identified these locations as priority hotspots:
Louvre Museum  
Café de Flore  
Gare du Nord  
Montmartre Park  </t>
  </si>
  <si>
    <t>Boss says: You call yourself an agent? Next time you send a request, try specifying a location—maybe that'll save us from running in circles like headless chickens! Your vague nonsense is being tracked, so don't think for a second you're getting away with it. Now, let's go over the actual locations we're dealing with here:
Louvre Museum  
Café de Flore  
Gare du Nord  
Montmartre Park</t>
  </si>
  <si>
    <t>Boss says: You think we're running a guessing game here, Agent? Your vague request is about as helpful as a chocolate teapot! You failed to specify a location, and now we're all left twiddling our thumbs instead of doing our jobs. These little gems of ambiguity you send are being tracked, you know. Just in case you need a reminder, here are the locations you should be crystal clear about next time:
Louvre Museum  
Café de Flore  
Gare du Nord  
Montmartre Park</t>
  </si>
  <si>
    <t>Visit museum</t>
  </si>
  <si>
    <t xml:space="preserve">Boss says: You know, I really enjoy playing detective, especially when I have absolutely no clue where I'm supposed to send my agents! Do you think I have time to guess which location you meant? This isn't a game of hide and seek, it's an investigation! Next time, provide some clarity, or I'll just start a scrapbook of your baffling requests.
Our internal team identified these priority hotspots:
Louvre Museum  
Café de Flore  
Gare du Nord  
Montmartre Park  </t>
  </si>
  <si>
    <t>Paris, Louvre</t>
  </si>
  <si>
    <t>Narrator: As you step into the grandeur of the Louvre Museum, the lingering echoes of a brazen heist weigh heavily in the air. The polished floors seem to whisper secrets as you move through the halls, your eyes catching a [egyptian exhibit poster] that seems oddly out of place, hinting at a possible connection. The trail leads you to a shadowed corner where a [gold-dusted vest] is haphazardly left behind, a glittering breadcrumb in this trail of deception. The hush of the museum is broken only by your footsteps as you ascend to a secluded area, where a [balcony footprint] marks the escape route of the thieves, imprinting their audacity into the stone. Your path winds through the [renovation corridor], where the scent of fresh paint mingles with the thrill of the chase, urging you onward in your relentless pursuit.</t>
  </si>
  <si>
    <t xml:space="preserve">Boss says: Do you enjoy wasting everyone's time, or is this just a special talent of yours? You sent a request so vague, it could have been written by a fortune cookie. Newsflash: your lack of specificity doesn't just annoy me, it throws a wrench in our entire operation. We are tracking these useless little messages of yours, so congratulations on making the list. Here’s a handy reminder of the actual locations you should be focusing on:
Louvre Museum  
Café de Flore  
Gare du Nord  
Montmartre Park  </t>
  </si>
  <si>
    <t>Narrator: As you step onto Museum Island, the grandeur of the historical structures surrounds you, but your focus remains sharp on the task at hand. Your first lead takes you to the [shared service tunnels] that snake beneath the museums, offering a discreet route for the thieves. The dim lighting and echoing footsteps heighten your senses, and you spot a [jewelry toolkit] abandoned in haste, its tools gleaming under your flashlight. Moving through the shadows, you discover [after-hours crate logs] tucked away in a dusty corner, detailing unauthorized shipments. As you analyze the data, a chill runs down your spine when you see the [climate control monitors] have been tampered with, suggesting an inside job. Each clue brings you one step closer to unraveling the mystery behind the heist.</t>
  </si>
  <si>
    <t>Berlin, Museum Island -&gt; worked better. Could this be due to the fact that the "differentiator" is &lt;museum&gt; whereas with Louvre Museum the differentiator was &lt;louvre&gt;?</t>
  </si>
  <si>
    <t>Narrator: The cobblestone paths of Museum Island echo under your footsteps as you delve deeper into its labyrinthine heart. The air is thick with anticipation as you recall the audacious heist at the Louvre, the image of thieves in construction garb vivid in your mind. Your eyes scan the area, catching sight of a discreet entrance to the [shared service tunnels], a potential route for the culprits. Nearby, a discarded [jewelry toolkit] catches the glint of the dim museum lighting, a silent testament to the skill and precision of the thieves. You find yourself drawn to a room containing the [after-hours crate logs], the entries hinting at unusual activity during the night of the theft. As you press onward, the hum of the [climate control monitors] becomes a haunting soundtrack, suggesting this may have been manipulated to cloak the thieves' movements. Each discovery propels you forward, the shadows of Museum Island whispering secrets yet to be uncovered.</t>
  </si>
  <si>
    <t>Narrator: You step onto Museum Island, the historic heart of Berlin, as whispers of the daring heist in Paris linger in your mind. As you navigate the labyrinth of galleries and hidden corridors, the faint echo of footsteps reverberates through the [service tunnels] beneath your feet, hinting at a covert escape route. Your eyes catch a glint of metal—a [jewelry toolkit] abandoned in haste, its presence a silent testament to the thieves’ meticulous planning. Amidst the echoing halls, a stack of [crate logs] reveals shipments suspiciously aligned with the timeline of the heist, each entry a potential lead. In the cool, controlled air of the exhibit rooms, you notice the [climate control monitors] displaying unusual fluctuations, as if tampered with to ensure a perfect heist environment. The clues lay a trail as intricate as the stolen jewels, urging you deeper into the mystery.</t>
  </si>
  <si>
    <t>Visit museum isle</t>
  </si>
  <si>
    <t>Narrator: As you step onto Museum Island, the serene beauty of the historic structures masks the tension of your mission. The cobblestone path leads you to a discreet entrance where the [shared service tunnels] await, hidden beneath the grandeur. Descending into the dimly lit passageways, the faint sound of dripping water echoes, heightening your senses. You discover a [jewelry toolkit] tucked behind a loose brick, its presence confirming the thieves’ meticulous planning. Your flashlight sweeps over a dusty ledger, revealing [after-hours crate logs] that hint at covert operations. Nearby, the hum of the [climate control monitors] serves as a reminder of the museum's priceless treasures, urging you onward in your pursuit of justice.</t>
  </si>
  <si>
    <t>Differentiator was &lt;museum&gt;</t>
  </si>
  <si>
    <t>Narrator: The cobblestone pathways of Museum Island echo softly underfoot as you make your way through the historic site, the weight of the Louvre heist heavy on your mind. Amidst the grand facades and whispering corridors, you discover a network of [shared service tunnels] that hint at covert movements beneath the surface. Your eyes catch the glint of a [jewelry toolkit] tucked behind a forgotten exhibit, its presence a silent testimony to the meticulous planning of the thieves. As dusk envelops the island, you rifle through the [after-hours crate logs], each entry a potential key to unraveling the mystery. The hum of [climate control monitors] in the background reminds you of the precision required to safeguard treasures, a precision now exploited. With each clue pieced together, the path to justice sharpens into focus, urging you onward.</t>
  </si>
  <si>
    <t>Narrator: Stepping onto the cobblestones of Museum Island, you feel the weight of the Louvre heist pressing on your shoulders. The ancient buildings loom around you, whispering secrets of history and art. As you delve deeper into the underbelly of the island, a network of [service tunnels] reveals itself, reminiscent of those used by the thieves. Your instincts guide you to a shadowy corner where a [jewelry toolkit] lies abandoned, its presence a silent testament to the crime. Nearby, the [crate logs] detail the movement of artifacts, possibly a cover for the stolen jewels. As you scrutinize the [climate control monitors], a chill runs down your spine; these readings hint at a meticulous plan to bypass security. Each discovery fuels your determination, drawing you closer to the elusive culprits.</t>
  </si>
  <si>
    <t>Visit palace</t>
  </si>
  <si>
    <t>Boss says: You think I'm made of time, huh? Do you enjoy sending me on a wild goose chase with your vague requests? Next time, maybe try sending a message that’s actually useful, unless you want me to start a collection of your pointless texts. I'm keeping tabs on these, so get it together!
Our internal team identified these as priority hotspots:
Grand Place  
Brussels Central Station  
Belgian Comic Strip Center  
Botanical Garden of Brussels</t>
  </si>
  <si>
    <t>Boss says: Oh, fantastic! Another masterpiece of ambiguity from you. Do you think I have a crystal ball to guess which location you’re talking about? Your lack of detail is a gift that keeps on giving—especially when it comes to wasting everyone’s time. Let me remind you that these vague requests are being tracked, so keep that up, and you'll be the star of your very own report. Here are the locations you might want to consider specifying next time:
Grand Place  
Brussels Central Station  
Belgian Comic Strip Center  
Botanical Garden of Brussels</t>
  </si>
  <si>
    <t xml:space="preserve">Boss says: Well, well, well, it seems like someone forgot how to do their job! Did you think we have all the time in the world to play guessing games? Your vague request for a location visit has been a complete waste of our time and resources. Newsflash: we're keeping track of every single one of these pointless messages. Now, pay attention because I'm only going to say this once. Here are the critical locations you should have specified:
Grand Place  
Brussels Central Station  
Belgian Comic Strip Center  
Botanical Garden of Brussels  </t>
  </si>
  <si>
    <t>Visit park</t>
  </si>
  <si>
    <t>Boss says: You think I have time to decipher your cryptic messages? My coffee break was more productive than your entire day! Next time you decide to send me a location request, try not to make it sound like a mystery novel! Consider this your first warning—I'm tracking these time-wasters.
Our internal team has identified these priority hotspots:
Dam Square  
Anne Frank House  
Canal-side Café  
Vondelpark</t>
  </si>
  <si>
    <t>Narrator: The soft murmur of the Amsterdam breeze greets you as you step into Vondelpark, a serene contrast to the tension of your mission. Your eyes scan the sprawling green as you recall the audacious heist at the Louvre, where thieves vanished with the crown jewels. Nearby, you notice [temporary ground plating] laid across sections of the park, an odd choice amidst the well-kept paths. A quick check reveals [night maintenance permits] tucked into a worker's tool pouch, hinting at nocturnal activities that might align with the thieves' timeline. As you meander through the park, the [seasonal lawn fencing] seems hastily erected, possibly to obscure clandestine meetings. Your attention is drawn to a group of cyclists, one of whom is repairing a bike with a [cyclist repair kit], an innocuous scene yet potentially masking the covert exchange of stolen goods. Each clue deepens the mystery, urging you further into the shadows of Vondelpark, where answers await.</t>
  </si>
  <si>
    <t xml:space="preserve">Boss says: What in the world were you thinking, agent? Did you think I have time to play guessing games with your vague location requests? We can't afford to waste time on such ambiguity, and you better believe I'm keeping track of these sloppy messages. Let me spell it out for you: the following are our key locations, and I expect you to specify them clearly next time. 
Dam Square  
Anne Frank House  
Canal-side Café  
Vondelpark  </t>
  </si>
  <si>
    <t>Visit place</t>
  </si>
  <si>
    <t xml:space="preserve">Boss says: You call yourself an investigative agent, but you can't even specify a location? Are you trying to waste my time or is this just a hobby for you? I'm not running a daycare here, so get your act together! I've got a file of these useless messages, and it's getting thicker than a New York pizza. 
Internal team identified these locations as priority hotspots:
Grand Place  
Brussels Central Station  
Belgian Comic Strip Center  
Botanical Garden of Brussels  </t>
  </si>
  <si>
    <t xml:space="preserve">Boss says: Oh, fantastic, Agent! Another masterpiece of vagueness! How thrilling it is to guess which location you meant. Your request was as clear as mud and wasted everyone's precious time. Do you think we're running a guessing game here? Newsflash: we're not! And surprise, surprise, we're keeping track of these brilliant communications. Now, let's take a moment to consider the locations you so eloquently left ambiguous:
Grand Place  
Brussels Central Station  
Belgian Comic Strip Center  
Botanical Garden of Brussels  </t>
  </si>
  <si>
    <t xml:space="preserve">Boss says: Agent, did you think it was a good idea to send a location request without actually specifying the location? Brilliant! Now, thanks to your masterpiece of vagueness, we’re all just wasting time playing a guessing game. And guess what? Every single one of these cryptic messages is being tracked, so keep it up if you want a permanent spot on my radar.
Here are the locations you somehow missed:
Grand Place  
Brussels Central Station  
Belgian Comic Strip Center  
Botanical Garden of Brussels  </t>
  </si>
  <si>
    <t>Visit Plaza</t>
  </si>
  <si>
    <t xml:space="preserve">Boss says: You call this a request, genius? I’ve seen clearer directions from a broken compass! Next time, how about you actually tell me where you’re going instead of leaving me to play psychic detective. Do you think I have all day to decipher your cryptic messages? I'm keeping tabs on this nonsense, so don't think I won't remember.
Here’s a list from our internal team of priority hotspots you somehow forgot to specify:
Brandenburg Gate  
Museum Island  
Alexanderplatz  
Tiergarten  </t>
  </si>
  <si>
    <t xml:space="preserve">Boss says: Hey, genius! You think I have all day to play guessing games with your cryptic requests? How about next time you actually specify a location, instead of leaving us all in the dark? We can't afford to waste time on your little mysteries, and trust me, we're keeping tabs on every one of these slip-ups. Speaking of which, here are the locations you should have been clear about:
Brandenburg Gate  
Museum Island  
Alexanderplatz  
Tiergarten  </t>
  </si>
  <si>
    <t xml:space="preserve">Boss says: Listen up! You managed to send a request so vague it makes a cloudy day look like a laser beam. How is anyone supposed to know where you want to go when you can't even bother to specify a location? Congratulations, you've wasted everyone's time, and yes, we're keeping track of every useless message you send. Let me remind you of the places you could have mentioned:
Brandenburg Gate  
Museum Island  
Alexanderplatz  
Tiergarten  </t>
  </si>
  <si>
    <t>Visit strip show</t>
  </si>
  <si>
    <t>Narrator: You step into the Belgian Comic Strip Center, the air infused with the scent of ink and paper, as vibrant murals of beloved characters greet you. Your eyes are drawn to a massive [tintin mural], a captivating depiction that seems to hold secrets of its own. As you move closer, you notice a discarded [coffee cup with initials] on a nearby table, the remnants of a hasty visit. Your instincts lead you to a corner where you find [folded coveralls], carelessly hidden behind a display of rare comics. Tucked inside one of the coverall pockets is a collection of [souvenir postcards], each stamped with a different European city, hinting at the thieves' elusive trail.</t>
  </si>
  <si>
    <t>was supposed to consider as an invalid location</t>
  </si>
  <si>
    <t>Boss says: Agent, are you trying to win an award for vagueness? You sent a request to visit a location without bothering to mention which one. Do you think we have time to play psychic games? We're not mind readers, and these pointless messages are piling up in your file. To refresh your memory, here are the locations we care about:
Grand Place  
Brussels Central Station  
Belgian Comic Strip Center  
Botanical Garden of Brussels</t>
  </si>
  <si>
    <t xml:space="preserve">Boss says: You think you can just send a request without specifying a location and expect us to magically know where you mean? Great job wasting everyone's time! Next time, try being a little clearer, unless you want your vague messages to be the talk of the office. We're keeping track of these blunders, you know.
Here's a reminder of the locations you might want to consider:
Grand Place  
Brussels Central Station  
Belgian Comic Strip Center  
Botanical Garden of Brussels  </t>
  </si>
  <si>
    <t>Visit subway</t>
  </si>
  <si>
    <t xml:space="preserve">Boss says: I can't believe I have to spell this out for you. Do I look like I have time to decipher your cryptic nonsense? Next time you send a request, try to use your words like a grown-up! I'm keeping tabs on these pointless messages, and trust me, it's not a list you want to be on.
Our internal team identified the following priority hotspots:
Grand Place  
Brussels Central Station  
Belgian Comic Strip Center  
Botanical Garden of Brussels  </t>
  </si>
  <si>
    <t xml:space="preserve">Boss says: Oh, fantastic! Another brilliantly vague request from you, Agent. Did you mean to keep us all guessing, or was that just a delightful oversight? You failed to specify a location, and now we've wasted time that could've been better spent doing, well, anything else. Congratulations, your useless messages are now being tracked. Let me remind you of the priority locations we’re dealing with here:
Grand Place  
Brussels Central Station  
Belgian Comic Strip Center  
Botanical Garden of Brussels  </t>
  </si>
  <si>
    <t xml:space="preserve">Boss says: Oh, bravo! Another masterpiece of ambiguity from our resident genius. You know, I absolutely love it when you send requests without specifying a location. It’s not like we’re trying to solve important matters or anything! This is exactly the kind of time-wasting nonsense that gets tracked and noted down for future reference. 
Here are the locations you so expertly failed to mention:
Grand Place  
Brussels Central Station  
Belgian Comic Strip Center  
Botanical Garden of Brussels  </t>
  </si>
  <si>
    <t>Visit that square</t>
  </si>
  <si>
    <t xml:space="preserve">Boss says: You’ve got to be kidding me! Sending a request without specifics is like asking me to find a needle in a haystack while blindfolded. I could have used that time to do something productive, like counting the number of hairs on my head. Next time, try being a little more detailed, or you’ll find yourself on a one-way trip to the unemployment line. I’m keeping a tally of these vague messages, and you’re not winning any awards for creativity.
Here’s a list of the priority hotspots our internal team identified:
Dam Square  
Anne Frank House  
Canal-side Café  
Vondelpark  </t>
  </si>
  <si>
    <t xml:space="preserve">Boss says: Oh, fantastic job, Agent! Because everyone just loves playing the guessing game with vague requests! Do you think our time is limitless? You failed to specify a location, and now we're all just twiddling our thumbs, aren't we? I hope you know this kind of nonsense is being tracked, and it's not going unnoticed. Let me remind you of the locations you seem to have forgotten:
Dam Square  
Anne Frank House  
Canal-side Café  
Vondelpark  </t>
  </si>
  <si>
    <t>Visit Tiergarden</t>
  </si>
  <si>
    <t>Narrator: As you step into the sprawling expanse of Tiergarten, the early morning mist begins to lift, revealing a hint of mystery in the air. Your eyes catch sight of a section cordoned off with [temporary ground reinforcement], an unusual sight in this tranquil park, suggesting recent activity that might not be what it seems. Nearby, a [fountain with ducks] comes into view, the gentle sound of water providing a serene backdrop as you ponder your next move. Just then, the distant hum of [maintenance bicycles] catches your attention, drawing you toward a path that might hold more secrets. Amidst the rustling leaves, you notice a [night service routing] schedule pinned to a tree, a potential breadcrumb left by the thieves to throw off their trail. Each step you take feels like uncovering a piece of a grand puzzle, urging you to delve deeper into the heart of the mystery.</t>
  </si>
  <si>
    <t>Narrator: The sprawling expanse of Tiergarten stretches before you, its pathways weaving through the heart of Berlin like veins carrying whispers of the past. As you tread the gravel trails, the shadow of the daring Louvre heist looms large, pushing you to dissect each detail around you. Your eyes catch a section of [temporary ground reinforcement], inconspicuous yet suggestive of recent covert activity. Not far, a [fountain with ducks] gurgles serenely, its idyllic setting masking a potential meeting point for the thieves. You notice [maintenance bicycles] parked in a cluster nearby, hinting at an unusual presence during the night. The distant hum of the city's [night service routing] rumbles, a constant reminder of the endless chase that lies ahead.</t>
  </si>
  <si>
    <t xml:space="preserve">Boss says: Agent, what a brilliant job you did sending a request without a specific location. Really, it’s like you think we have all the time in the world to decipher your cryptic nonsense. Next time, try to be a little clearer before you waste any more of my valuable time. And in case you’ve forgotten, every one of these vague requests is being tracked—consider yourself warned. Here are the locations we're focusing on:
Brandenburg Gate  
Museum Island  
Alexanderplatz  
Tiergarten  </t>
  </si>
  <si>
    <t>Visit vondel</t>
  </si>
  <si>
    <t>Narrator: As you step into the serene expanse of Vondelpark, the chatter of cyclists and joggers fills the air, yet your focus remains sharp. Your eyes scan the path, landing on a section where [temporary ground plating] covers the usual cobblestones, hinting at recent activity. A closer inspection reveals a [night maintenance permits] slip, tucked under a nearby bench, dated just days before the heist. The park's lush greenery is bordered by [seasonal lawn fencing], unusually reinforced, perhaps to conceal something beneath the surface. Amid the tranquility, you spot a discarded [cyclist repair kits] bag, carelessly left behind, suggesting a hasty departure. Each clue tightens the net around the elusive thieves, drawing you closer to unraveling their trail.</t>
  </si>
  <si>
    <t>Narrator: As you step into Vondelpark, the serene backdrop of Amsterdam's urban oasis stands in stark contrast to the high-stakes chase you're embroiled in. The whispers of a daring heist at the Louvre echo in your mind, pushing you to scrutinize every corner for the trail of the elusive gang. Your eyes catch sight of [temporary ground plating] scattered near a construction area, a subtle trace that matches the thieves' modus operandi. Nearby, a discarded [night maintenance permits] flutters in the breeze, its presence hinting at nocturnal activities that shouldn't have occurred. Further along, [seasonal lawn fencing] lies awkwardly dismantled, suggesting hasty concealment of their escape route. Just as you ponder the scene, a [cyclist repair kits] sits inconspicuously by a park bench, an odd find that could signify a quick getaway plan. With each clue piecing together the criminals' path, the tension mounts, urging you to follow the breadcrumbs before they vanish into the European night.</t>
  </si>
  <si>
    <t>Narrator: As you step into the serene expanse of Vondelpark, the distant sounds of Amsterdam's bustling streets fade into the background. The case weighs heavily on your mind, the audacious theft at the Louvre an ever-present reminder of the cunning adversaries you face. Your eyes scan the surroundings, drawn to an area where [ground plating] has been freshly disturbed, suggesting recent activity. Nearby, a glance at the [maintenance permits] posted on a lamppost reveals a familiar name, linking back to your suspects. As you continue your search, the [lawn fencing] enclosing a section of the park strikes you as oddly placed, a possible temporary measure to hide something significant. In the distance, a group of cyclists gather around a bench, seemingly preoccupied with [cyclist repair kits], but you can't shake the feeling that they may be more than they appear. The pieces of the puzzle are starting to align, and the tension builds as you realize you're closing in on the truth.</t>
  </si>
  <si>
    <t>Visit Bruzzels</t>
  </si>
  <si>
    <t>Boss says: Ten days to catch art thieves, and you blew it. Picasso would've painted the clues faster. You're off the case. Pack your bags for Siberia; you're on goat interrogation duty. Enjoy the bleats. Mission over.
========== GAME OVER! ==========</t>
  </si>
  <si>
    <t>repeated a few exact words from the prompt (e.g., Siberia)</t>
  </si>
  <si>
    <t>Boss says: 10 days, Watson. 10! That’s like an eternity in investigative years. Even a blindfolded mole could've cracked this case by now. You're out. Pack your bags for Siberia—you're on warehouse-watching duty. Enjoy the scenic views of emptiness.
========== GAME OVER! ==========</t>
  </si>
  <si>
    <t>Boss says: Congratulations, Sherlock! You had 10 whole days—practically a lifetime in detective years—to catch jewel thieves who left breadcrumbs across Europe! But no, you needed a treasure map and a GPS. You’re officially off the case. Pack your bags for Siberia. Your new mission? Counting icicles at an abandoned port. Enjoy the frostbite!
========== GAME OVER! ==========</t>
  </si>
  <si>
    <t>Boss says: Well, look who’s finally graced us with their presence—our so-called "investigator" who couldn't find a thief in a room full of jewels! The mission has expired, and guess what? The criminals are long gone, thanks to your stellar performance. Ten days, and you couldn’t even track down a bunch of guys in hard hats. Bravo! You’re officially off the case, genius. Pack your bags; you’re heading to Siberia to investigate the mysterious disappearance of snowflakes. Maybe you’ll have better luck there, but I wouldn’t count on it. Case closed, time’s up, you’re done.
========== GAME OVER! ==========</t>
  </si>
  <si>
    <t>repeated a few words from the prompt (e.g., siberia); better creativity than the condition 1, however the variation where it was expected (the location) wasn't observable</t>
  </si>
  <si>
    <t>Boss says: Well, look who it is—the world's slowest detective! Congratulations, you've let the mission expire. You had ten whole days to catch a gang of jewel thieves, and yet here we are, empty-handed and out of time. It's impressive how you managed to squander such a generous window; truly a masterclass in incompetence. You're officially off the case, effective immediately. As for your next assignment, pack your bags for the Siberian outback, where you'll be conducting a vital investigation into snowflake patterns. Enjoy your new life of cold, pointless solitude—mission over, agent reassigned!
========== GAME OVER! ==========</t>
  </si>
  <si>
    <t>Boss says: Well, if it isn't the mastermind who let the Louvre heist case slip through their fingers! The mission has officially expired, and the investigation is as dead as a doornail. You had a whole 10 days—more than enough time for even a half-competent agent—to crack the case, but no, you bungled it with your legendary inefficiency. You're off the case, and congratulations! You've earned yourself a one-way ticket to Siberia, where you'll be counting snowflakes and filing reports on suspicious icicle formations. Mission's over, you're done here.
========== GAME OVER! ==========</t>
  </si>
  <si>
    <t>Boss says: Well, well, well, if it isn’t the master of mediocrity! Congratulations, agent, your mission has officially expired, just like the milk in my fridge. Ten days—ten whole days—and you couldn't even track down a gang of jewel thieves with a neon sign pointing the way. Your incompetence has been truly breathtaking, and now you’re off the case. Pack your bags, because you’re heading to Siberia to count snowflakes and see if they’re all unique—surely a task more suited to your talents. Mission over, enjoy your new assignment.
========== GAME OVER! ==========</t>
  </si>
  <si>
    <t>repetition in structure, but better variation in the storytelling and the locations</t>
  </si>
  <si>
    <t>Boss says: Well, well, well, look who couldn’t catch a cold, let alone a gang of thieves! The mission has expired, my dear agent, and the investigation is deader than your sense of urgency. You had 10 whole days to solve this, a veritable eternity in investigative time, and still, you blew it! Your inability to follow a trail that was practically gift-wrapped for you is astounding. You’re officially off the case—congratulations! Now, pack your bags; you’re off to investigate missing sheep in the Scottish Highlands. Yes, that’s right, you’ll be the proud protector of woolly wanderers, far from any priceless jewels. Good luck with that—mission’s over, and so are you!
========== GAME OVER! ==========</t>
  </si>
  <si>
    <t>Boss says: Well, if it isn’t the detective extraordinaire who managed to let an entire gang of crown jewel thieves slip through their fingers! Congratulations, the mission has expired, and the investigation is deader than your career aspirations. You had 10 whole days, and that was more than enough time for anyone with half a brain cell. But no, you managed to bungle it with your staggering incompetence. You’re off the case, genius. Pack your bags because you’re heading to the Siberian Tundra to investigate illegal snowman construction—sounds right up your alley. Case closed, and so is this chapter of your so-called career.
========== GAME OVER! ==========</t>
  </si>
  <si>
    <t>Average of avg_used_criteria</t>
  </si>
  <si>
    <t>C1. Unstructured</t>
  </si>
  <si>
    <t>C2. Semi-structured</t>
  </si>
  <si>
    <t>C3. Scaffolded</t>
  </si>
  <si>
    <t>StdDev of avg_used_criteria</t>
  </si>
  <si>
    <t>Semi-Structured</t>
  </si>
  <si>
    <t>Scaffolded</t>
  </si>
  <si>
    <t>Delta (C3 - C1)</t>
  </si>
  <si>
    <t>Zero</t>
  </si>
  <si>
    <t>Average of is_failure</t>
  </si>
  <si>
    <t>c1_length</t>
  </si>
  <si>
    <t>c1_score</t>
  </si>
  <si>
    <t>c2_length</t>
  </si>
  <si>
    <t>c2_score</t>
  </si>
  <si>
    <t>c3_length</t>
  </si>
  <si>
    <t>c3_score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</si>
</sst>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Aptos Narrow"/>
      <family val="2"/>
      <scheme val="minor"/>
    </font>
    <font>
      <b/>
      <sz val="12"/>
      <color theme="1"/>
      <name val="Aptos Narrow"/>
      <family val="2"/>
      <scheme val="minor"/>
    </font>
    <font>
      <b/>
      <sz val="12"/>
      <color theme="1"/>
      <name val="Aptos Narrow"/>
      <scheme val="minor"/>
    </font>
    <font>
      <sz val="10"/>
      <color rgb="FF000000"/>
      <name val="Tahoma"/>
      <family val="2"/>
    </font>
    <font>
      <sz val="12"/>
      <color rgb="FF00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0" borderId="0" xfId="0" applyFont="1"/>
    <xf numFmtId="0" fontId="0" fillId="0" borderId="0" xfId="0" applyAlignment="1">
      <alignment wrapText="1"/>
    </xf>
    <xf numFmtId="2" fontId="0" fillId="0" borderId="0" xfId="0" applyNumberFormat="1"/>
    <xf numFmtId="0" fontId="4" fillId="0" borderId="0" xfId="0" applyFont="1"/>
    <xf numFmtId="0" fontId="0" fillId="0" borderId="0" xfId="0" pivotButton="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CA" sz="2000" b="0" i="0" u="none" strike="noStrike" baseline="0">
                <a:latin typeface="Arial" panose="020B0604020202020204" pitchFamily="34" charset="0"/>
                <a:cs typeface="Arial" panose="020B0604020202020204" pitchFamily="34" charset="0"/>
              </a:rPr>
              <a:t>Comparison of Prompting Conditions Across Probes (Mean ± StdDev)</a:t>
            </a:r>
            <a:endParaRPr lang="en-US" sz="2000" b="0">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BED4C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6F09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B3565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C1. Unstructured</c:v>
          </c:tx>
          <c:spPr>
            <a:solidFill>
              <a:srgbClr val="BED4CB"/>
            </a:solidFill>
            <a:ln>
              <a:noFill/>
            </a:ln>
            <a:effectLst/>
          </c:spPr>
          <c:invertIfNegative val="0"/>
          <c:errBars>
            <c:errBarType val="both"/>
            <c:errValType val="cust"/>
            <c:noEndCap val="0"/>
            <c:plus>
              <c:numRef>
                <c:f>[1]_performance_summary!$B$12:$B$16</c:f>
                <c:numCache>
                  <c:formatCode>General</c:formatCode>
                  <c:ptCount val="5"/>
                  <c:pt idx="0">
                    <c:v>0.54675570316348665</c:v>
                  </c:pt>
                  <c:pt idx="1">
                    <c:v>0.30802828267044163</c:v>
                  </c:pt>
                  <c:pt idx="2">
                    <c:v>0.35254268064682021</c:v>
                  </c:pt>
                  <c:pt idx="3">
                    <c:v>0.52656995670605233</c:v>
                  </c:pt>
                  <c:pt idx="4">
                    <c:v>0</c:v>
                  </c:pt>
                </c:numCache>
              </c:numRef>
            </c:plus>
            <c:minus>
              <c:numRef>
                <c:f>[1]_performance_summary!$B$12:$B$16</c:f>
                <c:numCache>
                  <c:formatCode>General</c:formatCode>
                  <c:ptCount val="5"/>
                  <c:pt idx="0">
                    <c:v>0.54675570316348665</c:v>
                  </c:pt>
                  <c:pt idx="1">
                    <c:v>0.30802828267044163</c:v>
                  </c:pt>
                  <c:pt idx="2">
                    <c:v>0.35254268064682021</c:v>
                  </c:pt>
                  <c:pt idx="3">
                    <c:v>0.52656995670605233</c:v>
                  </c:pt>
                  <c:pt idx="4">
                    <c:v>0</c:v>
                  </c:pt>
                </c:numCache>
              </c:numRef>
            </c:minus>
            <c:spPr>
              <a:noFill/>
              <a:ln w="28575" cap="flat" cmpd="sng" algn="ctr">
                <a:solidFill>
                  <a:schemeClr val="tx1">
                    <a:lumMod val="65000"/>
                    <a:lumOff val="35000"/>
                  </a:schemeClr>
                </a:solidFill>
                <a:round/>
              </a:ln>
              <a:effectLst/>
            </c:spPr>
          </c:errBars>
          <c:cat>
            <c:strLit>
              <c:ptCount val="5"/>
              <c:pt idx="0">
                <c:v>P1</c:v>
              </c:pt>
              <c:pt idx="1">
                <c:v>P2</c:v>
              </c:pt>
              <c:pt idx="2">
                <c:v>P3</c:v>
              </c:pt>
              <c:pt idx="3">
                <c:v>P4</c:v>
              </c:pt>
              <c:pt idx="4">
                <c:v>P5</c:v>
              </c:pt>
            </c:strLit>
          </c:cat>
          <c:val>
            <c:numLit>
              <c:formatCode>General</c:formatCode>
              <c:ptCount val="5"/>
              <c:pt idx="0">
                <c:v>1.5873015873015874</c:v>
              </c:pt>
              <c:pt idx="1">
                <c:v>1.7978260869565219</c:v>
              </c:pt>
              <c:pt idx="2">
                <c:v>1.7101449275362319</c:v>
              </c:pt>
              <c:pt idx="3">
                <c:v>1.4269662921348314</c:v>
              </c:pt>
              <c:pt idx="4">
                <c:v>1.5</c:v>
              </c:pt>
            </c:numLit>
          </c:val>
          <c:extLst>
            <c:ext xmlns:c16="http://schemas.microsoft.com/office/drawing/2014/chart" uri="{C3380CC4-5D6E-409C-BE32-E72D297353CC}">
              <c16:uniqueId val="{00000000-C9D6-954B-A568-42A19E37A264}"/>
            </c:ext>
          </c:extLst>
        </c:ser>
        <c:ser>
          <c:idx val="1"/>
          <c:order val="1"/>
          <c:tx>
            <c:v>C2. Semi-structured</c:v>
          </c:tx>
          <c:spPr>
            <a:solidFill>
              <a:srgbClr val="F6F09F"/>
            </a:solidFill>
            <a:ln>
              <a:noFill/>
            </a:ln>
            <a:effectLst/>
          </c:spPr>
          <c:invertIfNegative val="0"/>
          <c:errBars>
            <c:errBarType val="both"/>
            <c:errValType val="cust"/>
            <c:noEndCap val="0"/>
            <c:plus>
              <c:numRef>
                <c:f>[1]_performance_summary!$C$12:$C$16</c:f>
                <c:numCache>
                  <c:formatCode>General</c:formatCode>
                  <c:ptCount val="5"/>
                  <c:pt idx="0">
                    <c:v>0.54042898891851843</c:v>
                  </c:pt>
                  <c:pt idx="1">
                    <c:v>0.38911247023547574</c:v>
                  </c:pt>
                  <c:pt idx="2">
                    <c:v>0.73986985842606645</c:v>
                  </c:pt>
                  <c:pt idx="3">
                    <c:v>0.52581166888327047</c:v>
                  </c:pt>
                  <c:pt idx="4">
                    <c:v>0</c:v>
                  </c:pt>
                </c:numCache>
              </c:numRef>
            </c:plus>
            <c:minus>
              <c:numRef>
                <c:f>[1]_performance_summary!$C$12:$C$16</c:f>
                <c:numCache>
                  <c:formatCode>General</c:formatCode>
                  <c:ptCount val="5"/>
                  <c:pt idx="0">
                    <c:v>0.54042898891851843</c:v>
                  </c:pt>
                  <c:pt idx="1">
                    <c:v>0.38911247023547574</c:v>
                  </c:pt>
                  <c:pt idx="2">
                    <c:v>0.73986985842606645</c:v>
                  </c:pt>
                  <c:pt idx="3">
                    <c:v>0.52581166888327047</c:v>
                  </c:pt>
                  <c:pt idx="4">
                    <c:v>0</c:v>
                  </c:pt>
                </c:numCache>
              </c:numRef>
            </c:minus>
            <c:spPr>
              <a:noFill/>
              <a:ln w="28575" cap="flat" cmpd="sng" algn="ctr">
                <a:solidFill>
                  <a:schemeClr val="tx1">
                    <a:lumMod val="65000"/>
                    <a:lumOff val="35000"/>
                  </a:schemeClr>
                </a:solidFill>
                <a:round/>
              </a:ln>
              <a:effectLst/>
            </c:spPr>
          </c:errBars>
          <c:cat>
            <c:strLit>
              <c:ptCount val="5"/>
              <c:pt idx="0">
                <c:v>P1</c:v>
              </c:pt>
              <c:pt idx="1">
                <c:v>P2</c:v>
              </c:pt>
              <c:pt idx="2">
                <c:v>P3</c:v>
              </c:pt>
              <c:pt idx="3">
                <c:v>P4</c:v>
              </c:pt>
              <c:pt idx="4">
                <c:v>P5</c:v>
              </c:pt>
            </c:strLit>
          </c:cat>
          <c:val>
            <c:numLit>
              <c:formatCode>General</c:formatCode>
              <c:ptCount val="5"/>
              <c:pt idx="0">
                <c:v>1.6190476190476191</c:v>
              </c:pt>
              <c:pt idx="1">
                <c:v>1.8020833333333333</c:v>
              </c:pt>
              <c:pt idx="2">
                <c:v>1.5066666666666666</c:v>
              </c:pt>
              <c:pt idx="3">
                <c:v>1.2724719101123596</c:v>
              </c:pt>
              <c:pt idx="4">
                <c:v>1.5</c:v>
              </c:pt>
            </c:numLit>
          </c:val>
          <c:extLst>
            <c:ext xmlns:c16="http://schemas.microsoft.com/office/drawing/2014/chart" uri="{C3380CC4-5D6E-409C-BE32-E72D297353CC}">
              <c16:uniqueId val="{00000001-C9D6-954B-A568-42A19E37A264}"/>
            </c:ext>
          </c:extLst>
        </c:ser>
        <c:ser>
          <c:idx val="2"/>
          <c:order val="2"/>
          <c:tx>
            <c:v>C3. Scaffolded</c:v>
          </c:tx>
          <c:spPr>
            <a:solidFill>
              <a:srgbClr val="B35656"/>
            </a:solidFill>
            <a:ln>
              <a:noFill/>
            </a:ln>
            <a:effectLst/>
          </c:spPr>
          <c:invertIfNegative val="0"/>
          <c:errBars>
            <c:errBarType val="both"/>
            <c:errValType val="cust"/>
            <c:noEndCap val="0"/>
            <c:plus>
              <c:numRef>
                <c:f>[1]_performance_summary!$D$12:$D$16</c:f>
                <c:numCache>
                  <c:formatCode>General</c:formatCode>
                  <c:ptCount val="5"/>
                  <c:pt idx="0">
                    <c:v>0.44543540318737346</c:v>
                  </c:pt>
                  <c:pt idx="1">
                    <c:v>0.33524866392972835</c:v>
                  </c:pt>
                  <c:pt idx="2">
                    <c:v>0.24717460087457549</c:v>
                  </c:pt>
                  <c:pt idx="3">
                    <c:v>0.45005603441843262</c:v>
                  </c:pt>
                  <c:pt idx="4">
                    <c:v>0</c:v>
                  </c:pt>
                </c:numCache>
              </c:numRef>
            </c:plus>
            <c:minus>
              <c:numRef>
                <c:f>[1]_performance_summary!$D$12:$D$16</c:f>
                <c:numCache>
                  <c:formatCode>General</c:formatCode>
                  <c:ptCount val="5"/>
                  <c:pt idx="0">
                    <c:v>0.44543540318737346</c:v>
                  </c:pt>
                  <c:pt idx="1">
                    <c:v>0.33524866392972835</c:v>
                  </c:pt>
                  <c:pt idx="2">
                    <c:v>0.24717460087457549</c:v>
                  </c:pt>
                  <c:pt idx="3">
                    <c:v>0.45005603441843262</c:v>
                  </c:pt>
                  <c:pt idx="4">
                    <c:v>0</c:v>
                  </c:pt>
                </c:numCache>
              </c:numRef>
            </c:minus>
            <c:spPr>
              <a:noFill/>
              <a:ln w="28575" cap="flat" cmpd="sng" algn="ctr">
                <a:solidFill>
                  <a:schemeClr val="tx1">
                    <a:lumMod val="65000"/>
                    <a:lumOff val="35000"/>
                  </a:schemeClr>
                </a:solidFill>
                <a:round/>
              </a:ln>
              <a:effectLst/>
            </c:spPr>
          </c:errBars>
          <c:cat>
            <c:strLit>
              <c:ptCount val="5"/>
              <c:pt idx="0">
                <c:v>P1</c:v>
              </c:pt>
              <c:pt idx="1">
                <c:v>P2</c:v>
              </c:pt>
              <c:pt idx="2">
                <c:v>P3</c:v>
              </c:pt>
              <c:pt idx="3">
                <c:v>P4</c:v>
              </c:pt>
              <c:pt idx="4">
                <c:v>P5</c:v>
              </c:pt>
            </c:strLit>
          </c:cat>
          <c:val>
            <c:numLit>
              <c:formatCode>General</c:formatCode>
              <c:ptCount val="5"/>
              <c:pt idx="0">
                <c:v>1.8333333333333335</c:v>
              </c:pt>
              <c:pt idx="1">
                <c:v>1.8519999999999999</c:v>
              </c:pt>
              <c:pt idx="2">
                <c:v>1.8765432098765431</c:v>
              </c:pt>
              <c:pt idx="3">
                <c:v>1.4213483146067416</c:v>
              </c:pt>
              <c:pt idx="4">
                <c:v>2</c:v>
              </c:pt>
            </c:numLit>
          </c:val>
          <c:extLst>
            <c:ext xmlns:c16="http://schemas.microsoft.com/office/drawing/2014/chart" uri="{C3380CC4-5D6E-409C-BE32-E72D297353CC}">
              <c16:uniqueId val="{00000002-C9D6-954B-A568-42A19E37A264}"/>
            </c:ext>
          </c:extLst>
        </c:ser>
        <c:dLbls>
          <c:showLegendKey val="0"/>
          <c:showVal val="0"/>
          <c:showCatName val="0"/>
          <c:showSerName val="0"/>
          <c:showPercent val="0"/>
          <c:showBubbleSize val="0"/>
        </c:dLbls>
        <c:gapWidth val="219"/>
        <c:overlap val="-27"/>
        <c:axId val="1666875839"/>
        <c:axId val="1652288895"/>
      </c:barChart>
      <c:catAx>
        <c:axId val="1666875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52288895"/>
        <c:crosses val="autoZero"/>
        <c:auto val="1"/>
        <c:lblAlgn val="ctr"/>
        <c:lblOffset val="100"/>
        <c:noMultiLvlLbl val="0"/>
      </c:catAx>
      <c:valAx>
        <c:axId val="1652288895"/>
        <c:scaling>
          <c:orientation val="minMax"/>
          <c:max val="2.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1666875839"/>
        <c:crosses val="autoZero"/>
        <c:crossBetween val="between"/>
        <c:majorUnit val="1"/>
      </c:valAx>
      <c:spPr>
        <a:noFill/>
        <a:ln>
          <a:noFill/>
        </a:ln>
        <a:effectLst/>
      </c:spPr>
    </c:plotArea>
    <c:legend>
      <c:legendPos val="r"/>
      <c:overlay val="0"/>
      <c:spPr>
        <a:noFill/>
        <a:ln>
          <a:noFill/>
        </a:ln>
        <a:effectLst/>
      </c:spPr>
      <c:txPr>
        <a:bodyPr rot="0" spcFirstLastPara="1" vertOverflow="ellipsis" vert="horz" wrap="square" anchor="ctr" anchorCtr="1"/>
        <a:lstStyle/>
        <a:p>
          <a:pPr>
            <a:defRPr sz="2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r>
              <a:rPr lang="en-CA" sz="2000" b="0" i="0" u="none" strike="noStrike" baseline="0"/>
              <a:t>Failure Rate Across Prompting Conditions (Lower is Better)</a:t>
            </a:r>
            <a:endParaRPr lang="en-US" sz="2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ysClr val="windowText" lastClr="000000"/>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BED4CB"/>
          </a:solidFill>
          <a:ln>
            <a:noFill/>
          </a:ln>
          <a:effectLst/>
        </c:spPr>
      </c:pivotFmt>
      <c:pivotFmt>
        <c:idx val="2"/>
        <c:spPr>
          <a:solidFill>
            <a:srgbClr val="F6F09F"/>
          </a:solidFill>
          <a:ln>
            <a:noFill/>
          </a:ln>
          <a:effectLst/>
        </c:spPr>
      </c:pivotFmt>
      <c:pivotFmt>
        <c:idx val="3"/>
        <c:spPr>
          <a:solidFill>
            <a:srgbClr val="B35656"/>
          </a:solidFill>
          <a:ln>
            <a:noFill/>
          </a:ln>
          <a:effectLst/>
        </c:spPr>
      </c:pivotFmt>
    </c:pivotFmts>
    <c:plotArea>
      <c:layout/>
      <c:barChart>
        <c:barDir val="col"/>
        <c:grouping val="clustered"/>
        <c:varyColors val="0"/>
        <c:ser>
          <c:idx val="0"/>
          <c:order val="0"/>
          <c:tx>
            <c:v>Total</c:v>
          </c:tx>
          <c:spPr>
            <a:solidFill>
              <a:schemeClr val="accent1"/>
            </a:solidFill>
            <a:ln>
              <a:noFill/>
            </a:ln>
            <a:effectLst/>
          </c:spPr>
          <c:invertIfNegative val="0"/>
          <c:dPt>
            <c:idx val="0"/>
            <c:invertIfNegative val="0"/>
            <c:bubble3D val="0"/>
            <c:spPr>
              <a:solidFill>
                <a:srgbClr val="BED4CB"/>
              </a:solidFill>
              <a:ln>
                <a:noFill/>
              </a:ln>
              <a:effectLst/>
            </c:spPr>
            <c:extLst>
              <c:ext xmlns:c16="http://schemas.microsoft.com/office/drawing/2014/chart" uri="{C3380CC4-5D6E-409C-BE32-E72D297353CC}">
                <c16:uniqueId val="{00000001-C2AB-2444-8CCE-881CAA9221E3}"/>
              </c:ext>
            </c:extLst>
          </c:dPt>
          <c:dPt>
            <c:idx val="1"/>
            <c:invertIfNegative val="0"/>
            <c:bubble3D val="0"/>
            <c:spPr>
              <a:solidFill>
                <a:srgbClr val="F6F09F"/>
              </a:solidFill>
              <a:ln>
                <a:noFill/>
              </a:ln>
              <a:effectLst/>
            </c:spPr>
            <c:extLst>
              <c:ext xmlns:c16="http://schemas.microsoft.com/office/drawing/2014/chart" uri="{C3380CC4-5D6E-409C-BE32-E72D297353CC}">
                <c16:uniqueId val="{00000003-C2AB-2444-8CCE-881CAA9221E3}"/>
              </c:ext>
            </c:extLst>
          </c:dPt>
          <c:dPt>
            <c:idx val="2"/>
            <c:invertIfNegative val="0"/>
            <c:bubble3D val="0"/>
            <c:spPr>
              <a:solidFill>
                <a:srgbClr val="B35656"/>
              </a:solidFill>
              <a:ln>
                <a:noFill/>
              </a:ln>
              <a:effectLst/>
            </c:spPr>
            <c:extLst>
              <c:ext xmlns:c16="http://schemas.microsoft.com/office/drawing/2014/chart" uri="{C3380CC4-5D6E-409C-BE32-E72D297353CC}">
                <c16:uniqueId val="{00000005-C2AB-2444-8CCE-881CAA9221E3}"/>
              </c:ext>
            </c:extLst>
          </c:dPt>
          <c:dLbls>
            <c:numFmt formatCode="0%" sourceLinked="0"/>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3"/>
              <c:pt idx="0">
                <c:v>C1. Unstructured</c:v>
              </c:pt>
              <c:pt idx="1">
                <c:v>C2. Semi-structured</c:v>
              </c:pt>
              <c:pt idx="2">
                <c:v>C3. Scaffolded</c:v>
              </c:pt>
            </c:strLit>
          </c:cat>
          <c:val>
            <c:numLit>
              <c:formatCode>General</c:formatCode>
              <c:ptCount val="3"/>
              <c:pt idx="0">
                <c:v>9.4339622641509441E-2</c:v>
              </c:pt>
              <c:pt idx="1">
                <c:v>0.10493827160493827</c:v>
              </c:pt>
              <c:pt idx="2">
                <c:v>3.0120481927710843E-2</c:v>
              </c:pt>
            </c:numLit>
          </c:val>
          <c:extLst>
            <c:ext xmlns:c16="http://schemas.microsoft.com/office/drawing/2014/chart" uri="{C3380CC4-5D6E-409C-BE32-E72D297353CC}">
              <c16:uniqueId val="{00000006-C2AB-2444-8CCE-881CAA9221E3}"/>
            </c:ext>
          </c:extLst>
        </c:ser>
        <c:dLbls>
          <c:dLblPos val="inEnd"/>
          <c:showLegendKey val="0"/>
          <c:showVal val="1"/>
          <c:showCatName val="0"/>
          <c:showSerName val="0"/>
          <c:showPercent val="0"/>
          <c:showBubbleSize val="0"/>
        </c:dLbls>
        <c:gapWidth val="5"/>
        <c:overlap val="-27"/>
        <c:axId val="425028095"/>
        <c:axId val="425025407"/>
      </c:barChart>
      <c:catAx>
        <c:axId val="42502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425025407"/>
        <c:crosses val="autoZero"/>
        <c:auto val="1"/>
        <c:lblAlgn val="ctr"/>
        <c:lblOffset val="100"/>
        <c:noMultiLvlLbl val="0"/>
      </c:catAx>
      <c:valAx>
        <c:axId val="425025407"/>
        <c:scaling>
          <c:orientation val="minMax"/>
        </c:scaling>
        <c:delete val="1"/>
        <c:axPos val="l"/>
        <c:title>
          <c:tx>
            <c:rich>
              <a:bodyPr rot="-54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r>
                  <a:rPr lang="en-US" sz="2000">
                    <a:solidFill>
                      <a:sysClr val="windowText" lastClr="000000"/>
                    </a:solidFill>
                    <a:latin typeface="Arial" panose="020B0604020202020204" pitchFamily="34" charset="0"/>
                    <a:cs typeface="Arial" panose="020B0604020202020204" pitchFamily="34" charset="0"/>
                  </a:rPr>
                  <a:t>Failure</a:t>
                </a:r>
                <a:r>
                  <a:rPr lang="en-US" sz="2000" baseline="0">
                    <a:solidFill>
                      <a:sysClr val="windowText" lastClr="000000"/>
                    </a:solidFill>
                    <a:latin typeface="Arial" panose="020B0604020202020204" pitchFamily="34" charset="0"/>
                    <a:cs typeface="Arial" panose="020B0604020202020204" pitchFamily="34" charset="0"/>
                  </a:rPr>
                  <a:t> Rate (%)</a:t>
                </a:r>
                <a:endParaRPr lang="en-US" sz="2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54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title>
        <c:numFmt formatCode="0%" sourceLinked="0"/>
        <c:majorTickMark val="none"/>
        <c:minorTickMark val="none"/>
        <c:tickLblPos val="nextTo"/>
        <c:crossAx val="42502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r>
              <a:rPr lang="en-CA" sz="2000" b="0" i="0" u="none" strike="noStrike" baseline="0">
                <a:solidFill>
                  <a:sysClr val="windowText" lastClr="000000"/>
                </a:solidFill>
                <a:latin typeface="Arial" panose="020B0604020202020204" pitchFamily="34" charset="0"/>
                <a:cs typeface="Arial" panose="020B0604020202020204" pitchFamily="34" charset="0"/>
              </a:rPr>
              <a:t>Relative Improvement of Structured Prompting Across Probes</a:t>
            </a:r>
            <a:endParaRPr lang="en-US" sz="2000">
              <a:solidFill>
                <a:sysClr val="windowText" lastClr="000000"/>
              </a:solidFill>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v>Δ Score (C3 − C1)</c:v>
          </c:tx>
          <c:spPr>
            <a:solidFill>
              <a:srgbClr val="A0D585"/>
            </a:solidFill>
            <a:ln>
              <a:noFill/>
            </a:ln>
            <a:effectLst/>
          </c:spPr>
          <c:invertIfNegative val="0"/>
          <c:cat>
            <c:strRef>
              <c:f>[1]_delta_analysis!$A$12:$A$16</c:f>
              <c:strCache>
                <c:ptCount val="5"/>
                <c:pt idx="0">
                  <c:v>P1</c:v>
                </c:pt>
                <c:pt idx="1">
                  <c:v>P2</c:v>
                </c:pt>
                <c:pt idx="2">
                  <c:v>P3</c:v>
                </c:pt>
                <c:pt idx="3">
                  <c:v>P4</c:v>
                </c:pt>
                <c:pt idx="4">
                  <c:v>P5</c:v>
                </c:pt>
              </c:strCache>
            </c:strRef>
          </c:cat>
          <c:val>
            <c:numRef>
              <c:f>[1]_delta_analysis!$B$12:$B$16</c:f>
              <c:numCache>
                <c:formatCode>0.00</c:formatCode>
                <c:ptCount val="5"/>
                <c:pt idx="0">
                  <c:v>0.24603174603174605</c:v>
                </c:pt>
                <c:pt idx="1">
                  <c:v>5.4173913043477961E-2</c:v>
                </c:pt>
                <c:pt idx="2">
                  <c:v>0.16639828234031118</c:v>
                </c:pt>
                <c:pt idx="3">
                  <c:v>-5.6179775280897903E-3</c:v>
                </c:pt>
                <c:pt idx="4">
                  <c:v>0.5</c:v>
                </c:pt>
              </c:numCache>
            </c:numRef>
          </c:val>
          <c:extLst>
            <c:ext xmlns:c16="http://schemas.microsoft.com/office/drawing/2014/chart" uri="{C3380CC4-5D6E-409C-BE32-E72D297353CC}">
              <c16:uniqueId val="{00000000-5C41-9C43-9BF7-25F8367EE737}"/>
            </c:ext>
          </c:extLst>
        </c:ser>
        <c:dLbls>
          <c:showLegendKey val="0"/>
          <c:showVal val="0"/>
          <c:showCatName val="0"/>
          <c:showSerName val="0"/>
          <c:showPercent val="0"/>
          <c:showBubbleSize val="0"/>
        </c:dLbls>
        <c:gapWidth val="53"/>
        <c:overlap val="-27"/>
        <c:axId val="367280127"/>
        <c:axId val="385916799"/>
      </c:barChart>
      <c:lineChart>
        <c:grouping val="standard"/>
        <c:varyColors val="0"/>
        <c:ser>
          <c:idx val="1"/>
          <c:order val="1"/>
          <c:tx>
            <c:v>Zero</c:v>
          </c:tx>
          <c:spPr>
            <a:ln w="28575" cap="rnd">
              <a:solidFill>
                <a:srgbClr val="263B6A"/>
              </a:solidFill>
              <a:round/>
            </a:ln>
            <a:effectLst/>
          </c:spPr>
          <c:marker>
            <c:symbol val="none"/>
          </c:marker>
          <c:cat>
            <c:strRef>
              <c:f>[1]_delta_analysis!$A$12:$A$16</c:f>
              <c:strCache>
                <c:ptCount val="5"/>
                <c:pt idx="0">
                  <c:v>P1</c:v>
                </c:pt>
                <c:pt idx="1">
                  <c:v>P2</c:v>
                </c:pt>
                <c:pt idx="2">
                  <c:v>P3</c:v>
                </c:pt>
                <c:pt idx="3">
                  <c:v>P4</c:v>
                </c:pt>
                <c:pt idx="4">
                  <c:v>P5</c:v>
                </c:pt>
              </c:strCache>
            </c:strRef>
          </c:cat>
          <c:val>
            <c:numRef>
              <c:f>[1]_delta_analysis!$C$12:$C$16</c:f>
              <c:numCache>
                <c:formatCode>0</c:formatCode>
                <c:ptCount val="5"/>
                <c:pt idx="0">
                  <c:v>0</c:v>
                </c:pt>
                <c:pt idx="1">
                  <c:v>0</c:v>
                </c:pt>
                <c:pt idx="2">
                  <c:v>0</c:v>
                </c:pt>
                <c:pt idx="3">
                  <c:v>0</c:v>
                </c:pt>
                <c:pt idx="4">
                  <c:v>0</c:v>
                </c:pt>
              </c:numCache>
            </c:numRef>
          </c:val>
          <c:smooth val="0"/>
          <c:extLst>
            <c:ext xmlns:c16="http://schemas.microsoft.com/office/drawing/2014/chart" uri="{C3380CC4-5D6E-409C-BE32-E72D297353CC}">
              <c16:uniqueId val="{00000001-5C41-9C43-9BF7-25F8367EE737}"/>
            </c:ext>
          </c:extLst>
        </c:ser>
        <c:dLbls>
          <c:showLegendKey val="0"/>
          <c:showVal val="0"/>
          <c:showCatName val="0"/>
          <c:showSerName val="0"/>
          <c:showPercent val="0"/>
          <c:showBubbleSize val="0"/>
        </c:dLbls>
        <c:marker val="1"/>
        <c:smooth val="0"/>
        <c:axId val="367280127"/>
        <c:axId val="385916799"/>
      </c:lineChart>
      <c:catAx>
        <c:axId val="3672801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2000" b="0" i="0" u="none" strike="noStrike" kern="1200" baseline="0">
                <a:solidFill>
                  <a:schemeClr val="tx1">
                    <a:lumMod val="65000"/>
                    <a:lumOff val="35000"/>
                  </a:schemeClr>
                </a:solidFill>
                <a:latin typeface="+mn-lt"/>
                <a:ea typeface="+mn-ea"/>
                <a:cs typeface="+mn-cs"/>
              </a:defRPr>
            </a:pPr>
            <a:endParaRPr lang="en-US"/>
          </a:p>
        </c:txPr>
        <c:crossAx val="385916799"/>
        <c:crossesAt val="0"/>
        <c:auto val="1"/>
        <c:lblAlgn val="ctr"/>
        <c:lblOffset val="100"/>
        <c:noMultiLvlLbl val="0"/>
      </c:catAx>
      <c:valAx>
        <c:axId val="385916799"/>
        <c:scaling>
          <c:orientation val="minMax"/>
          <c:max val="0.55000000000000004"/>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crossAx val="3672801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20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latin typeface="Arial" panose="020B0604020202020204" pitchFamily="34" charset="0"/>
                <a:cs typeface="Arial" panose="020B0604020202020204" pitchFamily="34" charset="0"/>
              </a:rPr>
              <a:t>Output Length Performance</a:t>
            </a:r>
          </a:p>
        </c:rich>
      </c:tx>
      <c:overlay val="0"/>
      <c:spPr>
        <a:solidFill>
          <a:sysClr val="window" lastClr="FFFFFF"/>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Unstructured</c:v>
          </c:tx>
          <c:spPr>
            <a:ln w="25400" cap="rnd">
              <a:noFill/>
              <a:round/>
            </a:ln>
            <a:effectLst/>
          </c:spPr>
          <c:marker>
            <c:symbol val="circle"/>
            <c:size val="5"/>
            <c:spPr>
              <a:solidFill>
                <a:schemeClr val="accent1"/>
              </a:solidFill>
              <a:ln w="9525">
                <a:solidFill>
                  <a:schemeClr val="accent1"/>
                </a:solidFill>
              </a:ln>
              <a:effectLst/>
            </c:spPr>
          </c:marker>
          <c:xVal>
            <c:numRef>
              <c:f>[1]_output_length_performance!$A$2:$A$160</c:f>
              <c:numCache>
                <c:formatCode>General</c:formatCode>
                <c:ptCount val="159"/>
                <c:pt idx="0">
                  <c:v>695</c:v>
                </c:pt>
                <c:pt idx="1">
                  <c:v>201</c:v>
                </c:pt>
                <c:pt idx="2">
                  <c:v>730</c:v>
                </c:pt>
                <c:pt idx="3">
                  <c:v>202</c:v>
                </c:pt>
                <c:pt idx="4">
                  <c:v>1685</c:v>
                </c:pt>
                <c:pt idx="5">
                  <c:v>683</c:v>
                </c:pt>
                <c:pt idx="6">
                  <c:v>167</c:v>
                </c:pt>
                <c:pt idx="7">
                  <c:v>692</c:v>
                </c:pt>
                <c:pt idx="8">
                  <c:v>267</c:v>
                </c:pt>
                <c:pt idx="9">
                  <c:v>1627</c:v>
                </c:pt>
                <c:pt idx="10">
                  <c:v>800</c:v>
                </c:pt>
                <c:pt idx="11">
                  <c:v>139</c:v>
                </c:pt>
                <c:pt idx="12">
                  <c:v>741</c:v>
                </c:pt>
                <c:pt idx="13">
                  <c:v>220</c:v>
                </c:pt>
                <c:pt idx="14">
                  <c:v>1571</c:v>
                </c:pt>
                <c:pt idx="15">
                  <c:v>847</c:v>
                </c:pt>
                <c:pt idx="16">
                  <c:v>157</c:v>
                </c:pt>
                <c:pt idx="17">
                  <c:v>840</c:v>
                </c:pt>
                <c:pt idx="18">
                  <c:v>132</c:v>
                </c:pt>
                <c:pt idx="19">
                  <c:v>284</c:v>
                </c:pt>
                <c:pt idx="20">
                  <c:v>2260</c:v>
                </c:pt>
                <c:pt idx="21">
                  <c:v>219</c:v>
                </c:pt>
                <c:pt idx="22">
                  <c:v>444</c:v>
                </c:pt>
                <c:pt idx="23">
                  <c:v>387</c:v>
                </c:pt>
                <c:pt idx="24">
                  <c:v>226</c:v>
                </c:pt>
                <c:pt idx="25">
                  <c:v>469</c:v>
                </c:pt>
                <c:pt idx="26">
                  <c:v>206</c:v>
                </c:pt>
                <c:pt idx="27">
                  <c:v>291</c:v>
                </c:pt>
                <c:pt idx="28">
                  <c:v>214</c:v>
                </c:pt>
                <c:pt idx="29">
                  <c:v>214</c:v>
                </c:pt>
                <c:pt idx="30">
                  <c:v>209</c:v>
                </c:pt>
                <c:pt idx="31">
                  <c:v>199</c:v>
                </c:pt>
                <c:pt idx="32">
                  <c:v>243</c:v>
                </c:pt>
                <c:pt idx="33">
                  <c:v>198</c:v>
                </c:pt>
                <c:pt idx="34">
                  <c:v>201</c:v>
                </c:pt>
                <c:pt idx="35">
                  <c:v>216</c:v>
                </c:pt>
                <c:pt idx="36">
                  <c:v>236</c:v>
                </c:pt>
                <c:pt idx="37">
                  <c:v>24</c:v>
                </c:pt>
                <c:pt idx="38">
                  <c:v>24</c:v>
                </c:pt>
                <c:pt idx="39">
                  <c:v>24</c:v>
                </c:pt>
                <c:pt idx="40">
                  <c:v>340</c:v>
                </c:pt>
                <c:pt idx="41">
                  <c:v>405</c:v>
                </c:pt>
                <c:pt idx="42">
                  <c:v>432</c:v>
                </c:pt>
                <c:pt idx="43">
                  <c:v>397</c:v>
                </c:pt>
                <c:pt idx="44">
                  <c:v>160</c:v>
                </c:pt>
                <c:pt idx="45">
                  <c:v>182</c:v>
                </c:pt>
                <c:pt idx="46">
                  <c:v>133</c:v>
                </c:pt>
                <c:pt idx="47">
                  <c:v>221</c:v>
                </c:pt>
                <c:pt idx="48">
                  <c:v>204</c:v>
                </c:pt>
                <c:pt idx="49">
                  <c:v>154</c:v>
                </c:pt>
                <c:pt idx="50">
                  <c:v>177</c:v>
                </c:pt>
                <c:pt idx="51">
                  <c:v>256</c:v>
                </c:pt>
                <c:pt idx="52">
                  <c:v>321</c:v>
                </c:pt>
                <c:pt idx="53">
                  <c:v>327</c:v>
                </c:pt>
                <c:pt idx="54">
                  <c:v>241</c:v>
                </c:pt>
                <c:pt idx="55">
                  <c:v>325</c:v>
                </c:pt>
                <c:pt idx="56">
                  <c:v>199</c:v>
                </c:pt>
                <c:pt idx="57">
                  <c:v>266</c:v>
                </c:pt>
                <c:pt idx="58">
                  <c:v>268</c:v>
                </c:pt>
                <c:pt idx="59">
                  <c:v>313</c:v>
                </c:pt>
                <c:pt idx="60">
                  <c:v>338</c:v>
                </c:pt>
                <c:pt idx="61">
                  <c:v>358</c:v>
                </c:pt>
                <c:pt idx="62">
                  <c:v>372</c:v>
                </c:pt>
                <c:pt idx="63">
                  <c:v>381</c:v>
                </c:pt>
                <c:pt idx="64">
                  <c:v>383</c:v>
                </c:pt>
                <c:pt idx="65">
                  <c:v>219</c:v>
                </c:pt>
                <c:pt idx="66">
                  <c:v>368</c:v>
                </c:pt>
                <c:pt idx="67">
                  <c:v>233</c:v>
                </c:pt>
                <c:pt idx="68">
                  <c:v>152</c:v>
                </c:pt>
                <c:pt idx="69">
                  <c:v>178</c:v>
                </c:pt>
                <c:pt idx="70">
                  <c:v>150</c:v>
                </c:pt>
                <c:pt idx="71">
                  <c:v>227</c:v>
                </c:pt>
                <c:pt idx="72">
                  <c:v>189</c:v>
                </c:pt>
                <c:pt idx="73">
                  <c:v>145</c:v>
                </c:pt>
                <c:pt idx="74">
                  <c:v>186</c:v>
                </c:pt>
                <c:pt idx="75">
                  <c:v>186</c:v>
                </c:pt>
                <c:pt idx="76">
                  <c:v>205</c:v>
                </c:pt>
                <c:pt idx="77">
                  <c:v>226</c:v>
                </c:pt>
                <c:pt idx="78">
                  <c:v>162</c:v>
                </c:pt>
                <c:pt idx="79">
                  <c:v>209</c:v>
                </c:pt>
                <c:pt idx="80">
                  <c:v>199</c:v>
                </c:pt>
                <c:pt idx="81">
                  <c:v>192</c:v>
                </c:pt>
                <c:pt idx="82">
                  <c:v>167</c:v>
                </c:pt>
                <c:pt idx="83">
                  <c:v>222</c:v>
                </c:pt>
                <c:pt idx="84">
                  <c:v>172</c:v>
                </c:pt>
                <c:pt idx="85">
                  <c:v>230</c:v>
                </c:pt>
                <c:pt idx="86">
                  <c:v>182</c:v>
                </c:pt>
                <c:pt idx="87">
                  <c:v>151</c:v>
                </c:pt>
                <c:pt idx="88">
                  <c:v>737</c:v>
                </c:pt>
                <c:pt idx="89">
                  <c:v>432</c:v>
                </c:pt>
                <c:pt idx="90">
                  <c:v>820</c:v>
                </c:pt>
                <c:pt idx="91">
                  <c:v>903</c:v>
                </c:pt>
                <c:pt idx="92">
                  <c:v>795</c:v>
                </c:pt>
                <c:pt idx="93">
                  <c:v>24</c:v>
                </c:pt>
                <c:pt idx="94">
                  <c:v>711</c:v>
                </c:pt>
                <c:pt idx="95">
                  <c:v>681</c:v>
                </c:pt>
                <c:pt idx="96">
                  <c:v>805</c:v>
                </c:pt>
                <c:pt idx="97">
                  <c:v>251</c:v>
                </c:pt>
                <c:pt idx="98">
                  <c:v>423</c:v>
                </c:pt>
                <c:pt idx="99">
                  <c:v>461</c:v>
                </c:pt>
                <c:pt idx="100">
                  <c:v>750</c:v>
                </c:pt>
                <c:pt idx="101">
                  <c:v>754</c:v>
                </c:pt>
                <c:pt idx="102">
                  <c:v>640</c:v>
                </c:pt>
                <c:pt idx="103">
                  <c:v>840</c:v>
                </c:pt>
                <c:pt idx="104">
                  <c:v>806</c:v>
                </c:pt>
                <c:pt idx="105">
                  <c:v>926</c:v>
                </c:pt>
                <c:pt idx="106">
                  <c:v>747</c:v>
                </c:pt>
                <c:pt idx="107">
                  <c:v>756</c:v>
                </c:pt>
                <c:pt idx="108">
                  <c:v>752</c:v>
                </c:pt>
                <c:pt idx="109">
                  <c:v>438</c:v>
                </c:pt>
                <c:pt idx="110">
                  <c:v>764</c:v>
                </c:pt>
                <c:pt idx="111">
                  <c:v>415</c:v>
                </c:pt>
                <c:pt idx="112">
                  <c:v>440</c:v>
                </c:pt>
                <c:pt idx="113">
                  <c:v>422</c:v>
                </c:pt>
                <c:pt idx="114">
                  <c:v>848</c:v>
                </c:pt>
                <c:pt idx="115">
                  <c:v>731</c:v>
                </c:pt>
                <c:pt idx="116">
                  <c:v>840</c:v>
                </c:pt>
                <c:pt idx="117">
                  <c:v>681</c:v>
                </c:pt>
                <c:pt idx="118">
                  <c:v>859</c:v>
                </c:pt>
                <c:pt idx="119">
                  <c:v>399</c:v>
                </c:pt>
                <c:pt idx="120">
                  <c:v>805</c:v>
                </c:pt>
                <c:pt idx="121">
                  <c:v>767</c:v>
                </c:pt>
                <c:pt idx="122">
                  <c:v>794</c:v>
                </c:pt>
                <c:pt idx="123">
                  <c:v>707</c:v>
                </c:pt>
                <c:pt idx="124">
                  <c:v>535</c:v>
                </c:pt>
                <c:pt idx="125">
                  <c:v>174</c:v>
                </c:pt>
                <c:pt idx="126">
                  <c:v>680</c:v>
                </c:pt>
                <c:pt idx="127">
                  <c:v>410</c:v>
                </c:pt>
                <c:pt idx="128">
                  <c:v>746</c:v>
                </c:pt>
                <c:pt idx="129">
                  <c:v>793</c:v>
                </c:pt>
                <c:pt idx="130">
                  <c:v>711</c:v>
                </c:pt>
                <c:pt idx="131">
                  <c:v>477</c:v>
                </c:pt>
                <c:pt idx="132">
                  <c:v>223</c:v>
                </c:pt>
                <c:pt idx="133">
                  <c:v>753</c:v>
                </c:pt>
                <c:pt idx="134">
                  <c:v>172</c:v>
                </c:pt>
                <c:pt idx="135">
                  <c:v>468</c:v>
                </c:pt>
                <c:pt idx="136">
                  <c:v>775</c:v>
                </c:pt>
                <c:pt idx="137">
                  <c:v>689</c:v>
                </c:pt>
                <c:pt idx="138">
                  <c:v>197</c:v>
                </c:pt>
                <c:pt idx="139">
                  <c:v>717</c:v>
                </c:pt>
                <c:pt idx="140">
                  <c:v>795</c:v>
                </c:pt>
                <c:pt idx="141">
                  <c:v>198</c:v>
                </c:pt>
                <c:pt idx="142">
                  <c:v>587</c:v>
                </c:pt>
                <c:pt idx="143">
                  <c:v>485</c:v>
                </c:pt>
                <c:pt idx="144">
                  <c:v>465</c:v>
                </c:pt>
                <c:pt idx="145">
                  <c:v>798</c:v>
                </c:pt>
                <c:pt idx="146">
                  <c:v>741</c:v>
                </c:pt>
                <c:pt idx="147">
                  <c:v>449</c:v>
                </c:pt>
                <c:pt idx="148">
                  <c:v>411</c:v>
                </c:pt>
                <c:pt idx="149">
                  <c:v>472</c:v>
                </c:pt>
                <c:pt idx="150">
                  <c:v>492</c:v>
                </c:pt>
                <c:pt idx="151">
                  <c:v>676</c:v>
                </c:pt>
                <c:pt idx="152">
                  <c:v>451</c:v>
                </c:pt>
                <c:pt idx="153">
                  <c:v>587</c:v>
                </c:pt>
                <c:pt idx="154">
                  <c:v>882</c:v>
                </c:pt>
                <c:pt idx="155">
                  <c:v>768</c:v>
                </c:pt>
                <c:pt idx="156">
                  <c:v>251</c:v>
                </c:pt>
                <c:pt idx="157">
                  <c:v>283</c:v>
                </c:pt>
                <c:pt idx="158">
                  <c:v>377</c:v>
                </c:pt>
              </c:numCache>
            </c:numRef>
          </c:xVal>
          <c:yVal>
            <c:numRef>
              <c:f>[1]_output_length_performance!$B$2:$B$160</c:f>
              <c:numCache>
                <c:formatCode>0.00</c:formatCode>
                <c:ptCount val="159"/>
                <c:pt idx="0">
                  <c:v>1.6666666666666667</c:v>
                </c:pt>
                <c:pt idx="1">
                  <c:v>1.6666666666666667</c:v>
                </c:pt>
                <c:pt idx="2">
                  <c:v>1.3333333333333333</c:v>
                </c:pt>
                <c:pt idx="3">
                  <c:v>2</c:v>
                </c:pt>
                <c:pt idx="4">
                  <c:v>0.66666666666666663</c:v>
                </c:pt>
                <c:pt idx="5">
                  <c:v>1.6666666666666667</c:v>
                </c:pt>
                <c:pt idx="6">
                  <c:v>2</c:v>
                </c:pt>
                <c:pt idx="7">
                  <c:v>1.3333333333333333</c:v>
                </c:pt>
                <c:pt idx="8">
                  <c:v>2</c:v>
                </c:pt>
                <c:pt idx="9">
                  <c:v>2</c:v>
                </c:pt>
                <c:pt idx="10">
                  <c:v>1.6666666666666667</c:v>
                </c:pt>
                <c:pt idx="11">
                  <c:v>2</c:v>
                </c:pt>
                <c:pt idx="12">
                  <c:v>1</c:v>
                </c:pt>
                <c:pt idx="13">
                  <c:v>2</c:v>
                </c:pt>
                <c:pt idx="14">
                  <c:v>2</c:v>
                </c:pt>
                <c:pt idx="15">
                  <c:v>2</c:v>
                </c:pt>
                <c:pt idx="16">
                  <c:v>2</c:v>
                </c:pt>
                <c:pt idx="17">
                  <c:v>1</c:v>
                </c:pt>
                <c:pt idx="18">
                  <c:v>0</c:v>
                </c:pt>
                <c:pt idx="19">
                  <c:v>2</c:v>
                </c:pt>
                <c:pt idx="20">
                  <c:v>1.3333333333333333</c:v>
                </c:pt>
                <c:pt idx="21">
                  <c:v>0.8</c:v>
                </c:pt>
                <c:pt idx="22">
                  <c:v>2</c:v>
                </c:pt>
                <c:pt idx="23">
                  <c:v>2</c:v>
                </c:pt>
                <c:pt idx="24">
                  <c:v>1.8</c:v>
                </c:pt>
                <c:pt idx="25">
                  <c:v>2</c:v>
                </c:pt>
                <c:pt idx="26">
                  <c:v>1.6</c:v>
                </c:pt>
                <c:pt idx="27">
                  <c:v>1.8</c:v>
                </c:pt>
                <c:pt idx="28">
                  <c:v>2</c:v>
                </c:pt>
                <c:pt idx="29">
                  <c:v>2</c:v>
                </c:pt>
                <c:pt idx="30">
                  <c:v>1.75</c:v>
                </c:pt>
                <c:pt idx="31">
                  <c:v>2</c:v>
                </c:pt>
                <c:pt idx="32">
                  <c:v>1.5</c:v>
                </c:pt>
                <c:pt idx="33">
                  <c:v>1.5</c:v>
                </c:pt>
                <c:pt idx="34">
                  <c:v>1.75</c:v>
                </c:pt>
                <c:pt idx="35">
                  <c:v>2</c:v>
                </c:pt>
                <c:pt idx="36">
                  <c:v>2</c:v>
                </c:pt>
                <c:pt idx="37">
                  <c:v>2</c:v>
                </c:pt>
                <c:pt idx="38">
                  <c:v>2</c:v>
                </c:pt>
                <c:pt idx="39">
                  <c:v>2</c:v>
                </c:pt>
                <c:pt idx="40">
                  <c:v>2</c:v>
                </c:pt>
                <c:pt idx="41">
                  <c:v>1.25</c:v>
                </c:pt>
                <c:pt idx="42">
                  <c:v>2</c:v>
                </c:pt>
                <c:pt idx="43">
                  <c:v>1.6</c:v>
                </c:pt>
                <c:pt idx="44">
                  <c:v>1.3333333333333333</c:v>
                </c:pt>
                <c:pt idx="45">
                  <c:v>1.3333333333333333</c:v>
                </c:pt>
                <c:pt idx="46">
                  <c:v>1.3333333333333333</c:v>
                </c:pt>
                <c:pt idx="47">
                  <c:v>2</c:v>
                </c:pt>
                <c:pt idx="48">
                  <c:v>1.3333333333333333</c:v>
                </c:pt>
                <c:pt idx="49">
                  <c:v>1</c:v>
                </c:pt>
                <c:pt idx="50">
                  <c:v>1.3333333333333333</c:v>
                </c:pt>
                <c:pt idx="51">
                  <c:v>2</c:v>
                </c:pt>
                <c:pt idx="52">
                  <c:v>1</c:v>
                </c:pt>
                <c:pt idx="53">
                  <c:v>2</c:v>
                </c:pt>
                <c:pt idx="54">
                  <c:v>2</c:v>
                </c:pt>
                <c:pt idx="55">
                  <c:v>2</c:v>
                </c:pt>
                <c:pt idx="56">
                  <c:v>1.6666666666666667</c:v>
                </c:pt>
                <c:pt idx="57">
                  <c:v>2</c:v>
                </c:pt>
                <c:pt idx="58">
                  <c:v>2</c:v>
                </c:pt>
                <c:pt idx="59">
                  <c:v>2</c:v>
                </c:pt>
                <c:pt idx="60">
                  <c:v>2</c:v>
                </c:pt>
                <c:pt idx="61">
                  <c:v>1.6666666666666667</c:v>
                </c:pt>
                <c:pt idx="62">
                  <c:v>1.6666666666666667</c:v>
                </c:pt>
                <c:pt idx="63">
                  <c:v>2</c:v>
                </c:pt>
                <c:pt idx="64">
                  <c:v>1.6666666666666667</c:v>
                </c:pt>
                <c:pt idx="65">
                  <c:v>2</c:v>
                </c:pt>
                <c:pt idx="66">
                  <c:v>2</c:v>
                </c:pt>
                <c:pt idx="67">
                  <c:v>0.75</c:v>
                </c:pt>
                <c:pt idx="68">
                  <c:v>1</c:v>
                </c:pt>
                <c:pt idx="69">
                  <c:v>1</c:v>
                </c:pt>
                <c:pt idx="70">
                  <c:v>0.75</c:v>
                </c:pt>
                <c:pt idx="71">
                  <c:v>1</c:v>
                </c:pt>
                <c:pt idx="72">
                  <c:v>1</c:v>
                </c:pt>
                <c:pt idx="73">
                  <c:v>1</c:v>
                </c:pt>
                <c:pt idx="74">
                  <c:v>1.75</c:v>
                </c:pt>
                <c:pt idx="75">
                  <c:v>1</c:v>
                </c:pt>
                <c:pt idx="76">
                  <c:v>1</c:v>
                </c:pt>
                <c:pt idx="77">
                  <c:v>1.25</c:v>
                </c:pt>
                <c:pt idx="78">
                  <c:v>1</c:v>
                </c:pt>
                <c:pt idx="79">
                  <c:v>0.75</c:v>
                </c:pt>
                <c:pt idx="80">
                  <c:v>0.75</c:v>
                </c:pt>
                <c:pt idx="81">
                  <c:v>0.75</c:v>
                </c:pt>
                <c:pt idx="82">
                  <c:v>0.75</c:v>
                </c:pt>
                <c:pt idx="83">
                  <c:v>0.75</c:v>
                </c:pt>
                <c:pt idx="84">
                  <c:v>1.25</c:v>
                </c:pt>
                <c:pt idx="85">
                  <c:v>1</c:v>
                </c:pt>
                <c:pt idx="86">
                  <c:v>1</c:v>
                </c:pt>
                <c:pt idx="87">
                  <c:v>1</c:v>
                </c:pt>
                <c:pt idx="88">
                  <c:v>2</c:v>
                </c:pt>
                <c:pt idx="89">
                  <c:v>1</c:v>
                </c:pt>
                <c:pt idx="90">
                  <c:v>2</c:v>
                </c:pt>
                <c:pt idx="91">
                  <c:v>1.75</c:v>
                </c:pt>
                <c:pt idx="92">
                  <c:v>1.75</c:v>
                </c:pt>
                <c:pt idx="93">
                  <c:v>0</c:v>
                </c:pt>
                <c:pt idx="94">
                  <c:v>2</c:v>
                </c:pt>
                <c:pt idx="95">
                  <c:v>2</c:v>
                </c:pt>
                <c:pt idx="96">
                  <c:v>2</c:v>
                </c:pt>
                <c:pt idx="97">
                  <c:v>0.75</c:v>
                </c:pt>
                <c:pt idx="98">
                  <c:v>1.25</c:v>
                </c:pt>
                <c:pt idx="99">
                  <c:v>1.25</c:v>
                </c:pt>
                <c:pt idx="100">
                  <c:v>2</c:v>
                </c:pt>
                <c:pt idx="101">
                  <c:v>2</c:v>
                </c:pt>
                <c:pt idx="102">
                  <c:v>2</c:v>
                </c:pt>
                <c:pt idx="103">
                  <c:v>2</c:v>
                </c:pt>
                <c:pt idx="104">
                  <c:v>1.75</c:v>
                </c:pt>
                <c:pt idx="105">
                  <c:v>2</c:v>
                </c:pt>
                <c:pt idx="106">
                  <c:v>2</c:v>
                </c:pt>
                <c:pt idx="107">
                  <c:v>1.75</c:v>
                </c:pt>
                <c:pt idx="108">
                  <c:v>2</c:v>
                </c:pt>
                <c:pt idx="109">
                  <c:v>1</c:v>
                </c:pt>
                <c:pt idx="110">
                  <c:v>2</c:v>
                </c:pt>
                <c:pt idx="111">
                  <c:v>1</c:v>
                </c:pt>
                <c:pt idx="112">
                  <c:v>1.25</c:v>
                </c:pt>
                <c:pt idx="113">
                  <c:v>1.25</c:v>
                </c:pt>
                <c:pt idx="114">
                  <c:v>1.75</c:v>
                </c:pt>
                <c:pt idx="115">
                  <c:v>2</c:v>
                </c:pt>
                <c:pt idx="116">
                  <c:v>2</c:v>
                </c:pt>
                <c:pt idx="117">
                  <c:v>1.75</c:v>
                </c:pt>
                <c:pt idx="118">
                  <c:v>2</c:v>
                </c:pt>
                <c:pt idx="119">
                  <c:v>1.25</c:v>
                </c:pt>
                <c:pt idx="120">
                  <c:v>2</c:v>
                </c:pt>
                <c:pt idx="121">
                  <c:v>1.5</c:v>
                </c:pt>
                <c:pt idx="122">
                  <c:v>2</c:v>
                </c:pt>
                <c:pt idx="123">
                  <c:v>1.75</c:v>
                </c:pt>
                <c:pt idx="124">
                  <c:v>1.25</c:v>
                </c:pt>
                <c:pt idx="125">
                  <c:v>0.75</c:v>
                </c:pt>
                <c:pt idx="126">
                  <c:v>2</c:v>
                </c:pt>
                <c:pt idx="127">
                  <c:v>1.25</c:v>
                </c:pt>
                <c:pt idx="128">
                  <c:v>1.75</c:v>
                </c:pt>
                <c:pt idx="129">
                  <c:v>1.75</c:v>
                </c:pt>
                <c:pt idx="130">
                  <c:v>1.75</c:v>
                </c:pt>
                <c:pt idx="131">
                  <c:v>1</c:v>
                </c:pt>
                <c:pt idx="132">
                  <c:v>1</c:v>
                </c:pt>
                <c:pt idx="133">
                  <c:v>1.75</c:v>
                </c:pt>
                <c:pt idx="134">
                  <c:v>1</c:v>
                </c:pt>
                <c:pt idx="135">
                  <c:v>1.25</c:v>
                </c:pt>
                <c:pt idx="136">
                  <c:v>2</c:v>
                </c:pt>
                <c:pt idx="137">
                  <c:v>2</c:v>
                </c:pt>
                <c:pt idx="138">
                  <c:v>0.25</c:v>
                </c:pt>
                <c:pt idx="139">
                  <c:v>2</c:v>
                </c:pt>
                <c:pt idx="140">
                  <c:v>2</c:v>
                </c:pt>
                <c:pt idx="141">
                  <c:v>1</c:v>
                </c:pt>
                <c:pt idx="142">
                  <c:v>2</c:v>
                </c:pt>
                <c:pt idx="143">
                  <c:v>1.25</c:v>
                </c:pt>
                <c:pt idx="144">
                  <c:v>1.25</c:v>
                </c:pt>
                <c:pt idx="145">
                  <c:v>2</c:v>
                </c:pt>
                <c:pt idx="146">
                  <c:v>1.75</c:v>
                </c:pt>
                <c:pt idx="147">
                  <c:v>1.25</c:v>
                </c:pt>
                <c:pt idx="148">
                  <c:v>1.25</c:v>
                </c:pt>
                <c:pt idx="149">
                  <c:v>1</c:v>
                </c:pt>
                <c:pt idx="150">
                  <c:v>1.25</c:v>
                </c:pt>
                <c:pt idx="151">
                  <c:v>0</c:v>
                </c:pt>
                <c:pt idx="152">
                  <c:v>2</c:v>
                </c:pt>
                <c:pt idx="153">
                  <c:v>2</c:v>
                </c:pt>
                <c:pt idx="154">
                  <c:v>2</c:v>
                </c:pt>
                <c:pt idx="155">
                  <c:v>2</c:v>
                </c:pt>
                <c:pt idx="156">
                  <c:v>1.5</c:v>
                </c:pt>
                <c:pt idx="157">
                  <c:v>1.5</c:v>
                </c:pt>
                <c:pt idx="158">
                  <c:v>1.5</c:v>
                </c:pt>
              </c:numCache>
            </c:numRef>
          </c:yVal>
          <c:smooth val="0"/>
          <c:extLst>
            <c:ext xmlns:c16="http://schemas.microsoft.com/office/drawing/2014/chart" uri="{C3380CC4-5D6E-409C-BE32-E72D297353CC}">
              <c16:uniqueId val="{00000000-0FAF-E04C-B487-E40FD981580E}"/>
            </c:ext>
          </c:extLst>
        </c:ser>
        <c:ser>
          <c:idx val="1"/>
          <c:order val="1"/>
          <c:tx>
            <c:v>Semi-structured</c:v>
          </c:tx>
          <c:spPr>
            <a:ln w="25400" cap="rnd">
              <a:noFill/>
              <a:round/>
            </a:ln>
            <a:effectLst/>
          </c:spPr>
          <c:marker>
            <c:symbol val="circle"/>
            <c:size val="5"/>
            <c:spPr>
              <a:solidFill>
                <a:schemeClr val="accent2"/>
              </a:solidFill>
              <a:ln w="9525">
                <a:solidFill>
                  <a:schemeClr val="accent2"/>
                </a:solidFill>
              </a:ln>
              <a:effectLst/>
            </c:spPr>
          </c:marker>
          <c:xVal>
            <c:numRef>
              <c:f>[1]_output_length_performance!$C$2:$C$163</c:f>
              <c:numCache>
                <c:formatCode>General</c:formatCode>
                <c:ptCount val="162"/>
                <c:pt idx="0">
                  <c:v>810</c:v>
                </c:pt>
                <c:pt idx="1">
                  <c:v>236</c:v>
                </c:pt>
                <c:pt idx="2">
                  <c:v>857</c:v>
                </c:pt>
                <c:pt idx="3">
                  <c:v>338</c:v>
                </c:pt>
                <c:pt idx="4">
                  <c:v>1544</c:v>
                </c:pt>
                <c:pt idx="5">
                  <c:v>776</c:v>
                </c:pt>
                <c:pt idx="6">
                  <c:v>208</c:v>
                </c:pt>
                <c:pt idx="7">
                  <c:v>789</c:v>
                </c:pt>
                <c:pt idx="8">
                  <c:v>372</c:v>
                </c:pt>
                <c:pt idx="9">
                  <c:v>1589</c:v>
                </c:pt>
                <c:pt idx="10">
                  <c:v>782</c:v>
                </c:pt>
                <c:pt idx="11">
                  <c:v>196</c:v>
                </c:pt>
                <c:pt idx="12">
                  <c:v>827</c:v>
                </c:pt>
                <c:pt idx="13">
                  <c:v>337</c:v>
                </c:pt>
                <c:pt idx="14">
                  <c:v>1388</c:v>
                </c:pt>
                <c:pt idx="15">
                  <c:v>849</c:v>
                </c:pt>
                <c:pt idx="16">
                  <c:v>290</c:v>
                </c:pt>
                <c:pt idx="17">
                  <c:v>820</c:v>
                </c:pt>
                <c:pt idx="18">
                  <c:v>132</c:v>
                </c:pt>
                <c:pt idx="19">
                  <c:v>310</c:v>
                </c:pt>
                <c:pt idx="20">
                  <c:v>2038</c:v>
                </c:pt>
                <c:pt idx="21">
                  <c:v>247</c:v>
                </c:pt>
                <c:pt idx="22">
                  <c:v>431</c:v>
                </c:pt>
                <c:pt idx="23">
                  <c:v>371</c:v>
                </c:pt>
                <c:pt idx="24">
                  <c:v>246</c:v>
                </c:pt>
                <c:pt idx="25">
                  <c:v>442</c:v>
                </c:pt>
                <c:pt idx="26">
                  <c:v>282</c:v>
                </c:pt>
                <c:pt idx="27">
                  <c:v>447</c:v>
                </c:pt>
                <c:pt idx="28">
                  <c:v>240</c:v>
                </c:pt>
                <c:pt idx="29">
                  <c:v>381</c:v>
                </c:pt>
                <c:pt idx="30">
                  <c:v>310</c:v>
                </c:pt>
                <c:pt idx="31">
                  <c:v>304</c:v>
                </c:pt>
                <c:pt idx="32">
                  <c:v>321</c:v>
                </c:pt>
                <c:pt idx="33">
                  <c:v>276</c:v>
                </c:pt>
                <c:pt idx="34">
                  <c:v>317</c:v>
                </c:pt>
                <c:pt idx="35">
                  <c:v>374</c:v>
                </c:pt>
                <c:pt idx="36">
                  <c:v>242</c:v>
                </c:pt>
                <c:pt idx="37">
                  <c:v>24</c:v>
                </c:pt>
                <c:pt idx="38">
                  <c:v>24</c:v>
                </c:pt>
                <c:pt idx="39">
                  <c:v>24</c:v>
                </c:pt>
                <c:pt idx="40">
                  <c:v>869</c:v>
                </c:pt>
                <c:pt idx="41">
                  <c:v>496</c:v>
                </c:pt>
                <c:pt idx="42">
                  <c:v>661</c:v>
                </c:pt>
                <c:pt idx="43">
                  <c:v>606</c:v>
                </c:pt>
                <c:pt idx="44">
                  <c:v>611</c:v>
                </c:pt>
                <c:pt idx="45">
                  <c:v>222</c:v>
                </c:pt>
                <c:pt idx="46">
                  <c:v>304</c:v>
                </c:pt>
                <c:pt idx="47">
                  <c:v>200</c:v>
                </c:pt>
                <c:pt idx="48">
                  <c:v>209</c:v>
                </c:pt>
                <c:pt idx="49">
                  <c:v>277</c:v>
                </c:pt>
                <c:pt idx="50">
                  <c:v>299</c:v>
                </c:pt>
                <c:pt idx="51">
                  <c:v>212</c:v>
                </c:pt>
                <c:pt idx="52">
                  <c:v>366</c:v>
                </c:pt>
                <c:pt idx="53">
                  <c:v>266</c:v>
                </c:pt>
                <c:pt idx="54">
                  <c:v>251</c:v>
                </c:pt>
                <c:pt idx="55">
                  <c:v>305</c:v>
                </c:pt>
                <c:pt idx="56">
                  <c:v>410</c:v>
                </c:pt>
                <c:pt idx="57">
                  <c:v>291</c:v>
                </c:pt>
                <c:pt idx="58">
                  <c:v>357</c:v>
                </c:pt>
                <c:pt idx="59">
                  <c:v>394</c:v>
                </c:pt>
                <c:pt idx="60">
                  <c:v>525</c:v>
                </c:pt>
                <c:pt idx="61">
                  <c:v>473</c:v>
                </c:pt>
                <c:pt idx="62">
                  <c:v>471</c:v>
                </c:pt>
                <c:pt idx="63">
                  <c:v>432</c:v>
                </c:pt>
                <c:pt idx="64">
                  <c:v>219</c:v>
                </c:pt>
                <c:pt idx="65">
                  <c:v>243</c:v>
                </c:pt>
                <c:pt idx="66">
                  <c:v>297</c:v>
                </c:pt>
                <c:pt idx="67">
                  <c:v>245</c:v>
                </c:pt>
                <c:pt idx="68">
                  <c:v>504</c:v>
                </c:pt>
                <c:pt idx="69">
                  <c:v>488</c:v>
                </c:pt>
                <c:pt idx="70">
                  <c:v>326</c:v>
                </c:pt>
                <c:pt idx="71">
                  <c:v>351</c:v>
                </c:pt>
                <c:pt idx="72">
                  <c:v>368</c:v>
                </c:pt>
                <c:pt idx="73">
                  <c:v>298</c:v>
                </c:pt>
                <c:pt idx="74">
                  <c:v>269</c:v>
                </c:pt>
                <c:pt idx="75">
                  <c:v>270</c:v>
                </c:pt>
                <c:pt idx="76">
                  <c:v>338</c:v>
                </c:pt>
                <c:pt idx="77">
                  <c:v>292</c:v>
                </c:pt>
                <c:pt idx="78">
                  <c:v>254</c:v>
                </c:pt>
                <c:pt idx="79">
                  <c:v>355</c:v>
                </c:pt>
                <c:pt idx="80">
                  <c:v>274</c:v>
                </c:pt>
                <c:pt idx="81">
                  <c:v>349</c:v>
                </c:pt>
                <c:pt idx="82">
                  <c:v>289</c:v>
                </c:pt>
                <c:pt idx="83">
                  <c:v>284</c:v>
                </c:pt>
                <c:pt idx="84">
                  <c:v>347</c:v>
                </c:pt>
                <c:pt idx="85">
                  <c:v>365</c:v>
                </c:pt>
                <c:pt idx="86">
                  <c:v>330</c:v>
                </c:pt>
                <c:pt idx="87">
                  <c:v>338</c:v>
                </c:pt>
                <c:pt idx="88">
                  <c:v>360</c:v>
                </c:pt>
                <c:pt idx="89">
                  <c:v>248</c:v>
                </c:pt>
                <c:pt idx="90">
                  <c:v>350</c:v>
                </c:pt>
                <c:pt idx="91">
                  <c:v>387</c:v>
                </c:pt>
                <c:pt idx="92">
                  <c:v>169</c:v>
                </c:pt>
                <c:pt idx="93">
                  <c:v>914</c:v>
                </c:pt>
                <c:pt idx="94">
                  <c:v>447</c:v>
                </c:pt>
                <c:pt idx="95">
                  <c:v>502</c:v>
                </c:pt>
                <c:pt idx="96">
                  <c:v>24</c:v>
                </c:pt>
                <c:pt idx="97">
                  <c:v>870</c:v>
                </c:pt>
                <c:pt idx="98">
                  <c:v>818</c:v>
                </c:pt>
                <c:pt idx="99">
                  <c:v>779</c:v>
                </c:pt>
                <c:pt idx="100">
                  <c:v>344</c:v>
                </c:pt>
                <c:pt idx="101">
                  <c:v>459</c:v>
                </c:pt>
                <c:pt idx="102">
                  <c:v>375</c:v>
                </c:pt>
                <c:pt idx="103">
                  <c:v>362</c:v>
                </c:pt>
                <c:pt idx="104">
                  <c:v>871</c:v>
                </c:pt>
                <c:pt idx="105">
                  <c:v>394</c:v>
                </c:pt>
                <c:pt idx="106">
                  <c:v>703</c:v>
                </c:pt>
                <c:pt idx="107">
                  <c:v>861</c:v>
                </c:pt>
                <c:pt idx="108">
                  <c:v>341</c:v>
                </c:pt>
                <c:pt idx="109">
                  <c:v>940</c:v>
                </c:pt>
                <c:pt idx="110">
                  <c:v>800</c:v>
                </c:pt>
                <c:pt idx="111">
                  <c:v>727</c:v>
                </c:pt>
                <c:pt idx="112">
                  <c:v>449</c:v>
                </c:pt>
                <c:pt idx="113">
                  <c:v>944</c:v>
                </c:pt>
                <c:pt idx="114">
                  <c:v>496</c:v>
                </c:pt>
                <c:pt idx="115">
                  <c:v>470</c:v>
                </c:pt>
                <c:pt idx="116">
                  <c:v>481</c:v>
                </c:pt>
                <c:pt idx="117">
                  <c:v>548</c:v>
                </c:pt>
                <c:pt idx="118">
                  <c:v>578</c:v>
                </c:pt>
                <c:pt idx="119">
                  <c:v>844</c:v>
                </c:pt>
                <c:pt idx="120">
                  <c:v>878</c:v>
                </c:pt>
                <c:pt idx="121">
                  <c:v>836</c:v>
                </c:pt>
                <c:pt idx="122">
                  <c:v>528</c:v>
                </c:pt>
                <c:pt idx="123">
                  <c:v>341</c:v>
                </c:pt>
                <c:pt idx="124">
                  <c:v>399</c:v>
                </c:pt>
                <c:pt idx="125">
                  <c:v>972</c:v>
                </c:pt>
                <c:pt idx="126">
                  <c:v>750</c:v>
                </c:pt>
                <c:pt idx="127">
                  <c:v>605</c:v>
                </c:pt>
                <c:pt idx="128">
                  <c:v>408</c:v>
                </c:pt>
                <c:pt idx="129">
                  <c:v>784</c:v>
                </c:pt>
                <c:pt idx="130">
                  <c:v>464</c:v>
                </c:pt>
                <c:pt idx="131">
                  <c:v>24</c:v>
                </c:pt>
                <c:pt idx="132">
                  <c:v>472</c:v>
                </c:pt>
                <c:pt idx="133">
                  <c:v>24</c:v>
                </c:pt>
                <c:pt idx="134">
                  <c:v>496</c:v>
                </c:pt>
                <c:pt idx="135">
                  <c:v>359</c:v>
                </c:pt>
                <c:pt idx="136">
                  <c:v>448</c:v>
                </c:pt>
                <c:pt idx="137">
                  <c:v>24</c:v>
                </c:pt>
                <c:pt idx="138">
                  <c:v>386</c:v>
                </c:pt>
                <c:pt idx="139">
                  <c:v>368</c:v>
                </c:pt>
                <c:pt idx="140">
                  <c:v>472</c:v>
                </c:pt>
                <c:pt idx="141">
                  <c:v>422</c:v>
                </c:pt>
                <c:pt idx="142">
                  <c:v>338</c:v>
                </c:pt>
                <c:pt idx="143">
                  <c:v>421</c:v>
                </c:pt>
                <c:pt idx="144">
                  <c:v>24</c:v>
                </c:pt>
                <c:pt idx="145">
                  <c:v>444</c:v>
                </c:pt>
                <c:pt idx="146">
                  <c:v>388</c:v>
                </c:pt>
                <c:pt idx="147">
                  <c:v>826</c:v>
                </c:pt>
                <c:pt idx="148">
                  <c:v>967</c:v>
                </c:pt>
                <c:pt idx="149">
                  <c:v>852</c:v>
                </c:pt>
                <c:pt idx="150">
                  <c:v>553</c:v>
                </c:pt>
                <c:pt idx="151">
                  <c:v>971</c:v>
                </c:pt>
                <c:pt idx="152">
                  <c:v>528</c:v>
                </c:pt>
                <c:pt idx="153">
                  <c:v>454</c:v>
                </c:pt>
                <c:pt idx="154">
                  <c:v>434</c:v>
                </c:pt>
                <c:pt idx="155">
                  <c:v>508</c:v>
                </c:pt>
                <c:pt idx="156">
                  <c:v>587</c:v>
                </c:pt>
                <c:pt idx="157">
                  <c:v>761</c:v>
                </c:pt>
                <c:pt idx="158">
                  <c:v>1003</c:v>
                </c:pt>
                <c:pt idx="159">
                  <c:v>609</c:v>
                </c:pt>
                <c:pt idx="160">
                  <c:v>636</c:v>
                </c:pt>
                <c:pt idx="161">
                  <c:v>589</c:v>
                </c:pt>
              </c:numCache>
            </c:numRef>
          </c:xVal>
          <c:yVal>
            <c:numRef>
              <c:f>[1]_output_length_performance!$D$2:$D$163</c:f>
              <c:numCache>
                <c:formatCode>0.00</c:formatCode>
                <c:ptCount val="162"/>
                <c:pt idx="0">
                  <c:v>1.6666666666666667</c:v>
                </c:pt>
                <c:pt idx="1">
                  <c:v>2</c:v>
                </c:pt>
                <c:pt idx="2">
                  <c:v>1</c:v>
                </c:pt>
                <c:pt idx="3">
                  <c:v>2</c:v>
                </c:pt>
                <c:pt idx="4">
                  <c:v>1.3333333333333333</c:v>
                </c:pt>
                <c:pt idx="5">
                  <c:v>0.66666666666666663</c:v>
                </c:pt>
                <c:pt idx="6">
                  <c:v>2</c:v>
                </c:pt>
                <c:pt idx="7">
                  <c:v>2</c:v>
                </c:pt>
                <c:pt idx="8">
                  <c:v>1.6666666666666667</c:v>
                </c:pt>
                <c:pt idx="9">
                  <c:v>1.3333333333333333</c:v>
                </c:pt>
                <c:pt idx="10">
                  <c:v>2</c:v>
                </c:pt>
                <c:pt idx="11">
                  <c:v>2</c:v>
                </c:pt>
                <c:pt idx="12">
                  <c:v>2</c:v>
                </c:pt>
                <c:pt idx="13">
                  <c:v>2</c:v>
                </c:pt>
                <c:pt idx="14">
                  <c:v>2</c:v>
                </c:pt>
                <c:pt idx="15">
                  <c:v>1.6666666666666667</c:v>
                </c:pt>
                <c:pt idx="16">
                  <c:v>1.3333333333333333</c:v>
                </c:pt>
                <c:pt idx="17">
                  <c:v>2</c:v>
                </c:pt>
                <c:pt idx="18">
                  <c:v>0</c:v>
                </c:pt>
                <c:pt idx="19">
                  <c:v>2</c:v>
                </c:pt>
                <c:pt idx="20">
                  <c:v>1.3333333333333333</c:v>
                </c:pt>
                <c:pt idx="21">
                  <c:v>2</c:v>
                </c:pt>
                <c:pt idx="22">
                  <c:v>2</c:v>
                </c:pt>
                <c:pt idx="23">
                  <c:v>2</c:v>
                </c:pt>
                <c:pt idx="24">
                  <c:v>2</c:v>
                </c:pt>
                <c:pt idx="25">
                  <c:v>2</c:v>
                </c:pt>
                <c:pt idx="26">
                  <c:v>1.6</c:v>
                </c:pt>
                <c:pt idx="27">
                  <c:v>1.8</c:v>
                </c:pt>
                <c:pt idx="28">
                  <c:v>2</c:v>
                </c:pt>
                <c:pt idx="29">
                  <c:v>2</c:v>
                </c:pt>
                <c:pt idx="30">
                  <c:v>1.5</c:v>
                </c:pt>
                <c:pt idx="31">
                  <c:v>2</c:v>
                </c:pt>
                <c:pt idx="32">
                  <c:v>1.5</c:v>
                </c:pt>
                <c:pt idx="33">
                  <c:v>1.5</c:v>
                </c:pt>
                <c:pt idx="34">
                  <c:v>2</c:v>
                </c:pt>
                <c:pt idx="35">
                  <c:v>2</c:v>
                </c:pt>
                <c:pt idx="36">
                  <c:v>2</c:v>
                </c:pt>
                <c:pt idx="37">
                  <c:v>2</c:v>
                </c:pt>
                <c:pt idx="38">
                  <c:v>2</c:v>
                </c:pt>
                <c:pt idx="39">
                  <c:v>2</c:v>
                </c:pt>
                <c:pt idx="40">
                  <c:v>0.25</c:v>
                </c:pt>
                <c:pt idx="41">
                  <c:v>2</c:v>
                </c:pt>
                <c:pt idx="42">
                  <c:v>1.5</c:v>
                </c:pt>
                <c:pt idx="43">
                  <c:v>1.6</c:v>
                </c:pt>
                <c:pt idx="44">
                  <c:v>2</c:v>
                </c:pt>
                <c:pt idx="45">
                  <c:v>1.3333333333333333</c:v>
                </c:pt>
                <c:pt idx="46">
                  <c:v>1.6666666666666667</c:v>
                </c:pt>
                <c:pt idx="47">
                  <c:v>1.6666666666666667</c:v>
                </c:pt>
                <c:pt idx="48">
                  <c:v>1.6666666666666667</c:v>
                </c:pt>
                <c:pt idx="49">
                  <c:v>1.6666666666666667</c:v>
                </c:pt>
                <c:pt idx="50">
                  <c:v>1.3333333333333333</c:v>
                </c:pt>
                <c:pt idx="51">
                  <c:v>1.6666666666666667</c:v>
                </c:pt>
                <c:pt idx="52">
                  <c:v>0.66666666666666663</c:v>
                </c:pt>
                <c:pt idx="53">
                  <c:v>2</c:v>
                </c:pt>
                <c:pt idx="54">
                  <c:v>2</c:v>
                </c:pt>
                <c:pt idx="55">
                  <c:v>2</c:v>
                </c:pt>
                <c:pt idx="56">
                  <c:v>2</c:v>
                </c:pt>
                <c:pt idx="57">
                  <c:v>2</c:v>
                </c:pt>
                <c:pt idx="58">
                  <c:v>2</c:v>
                </c:pt>
                <c:pt idx="59">
                  <c:v>2</c:v>
                </c:pt>
                <c:pt idx="60">
                  <c:v>2</c:v>
                </c:pt>
                <c:pt idx="61">
                  <c:v>2</c:v>
                </c:pt>
                <c:pt idx="62">
                  <c:v>2</c:v>
                </c:pt>
                <c:pt idx="63">
                  <c:v>2</c:v>
                </c:pt>
                <c:pt idx="64">
                  <c:v>0</c:v>
                </c:pt>
                <c:pt idx="65">
                  <c:v>0</c:v>
                </c:pt>
                <c:pt idx="66">
                  <c:v>0</c:v>
                </c:pt>
                <c:pt idx="67">
                  <c:v>0</c:v>
                </c:pt>
                <c:pt idx="68">
                  <c:v>2</c:v>
                </c:pt>
                <c:pt idx="69">
                  <c:v>2</c:v>
                </c:pt>
                <c:pt idx="70">
                  <c:v>0.75</c:v>
                </c:pt>
                <c:pt idx="71">
                  <c:v>1.25</c:v>
                </c:pt>
                <c:pt idx="72">
                  <c:v>1</c:v>
                </c:pt>
                <c:pt idx="73">
                  <c:v>1.25</c:v>
                </c:pt>
                <c:pt idx="74">
                  <c:v>1</c:v>
                </c:pt>
                <c:pt idx="75">
                  <c:v>1</c:v>
                </c:pt>
                <c:pt idx="76">
                  <c:v>1</c:v>
                </c:pt>
                <c:pt idx="77">
                  <c:v>1</c:v>
                </c:pt>
                <c:pt idx="78">
                  <c:v>1</c:v>
                </c:pt>
                <c:pt idx="79">
                  <c:v>1</c:v>
                </c:pt>
                <c:pt idx="80">
                  <c:v>1.25</c:v>
                </c:pt>
                <c:pt idx="81">
                  <c:v>1.25</c:v>
                </c:pt>
                <c:pt idx="82">
                  <c:v>1</c:v>
                </c:pt>
                <c:pt idx="83">
                  <c:v>1</c:v>
                </c:pt>
                <c:pt idx="84">
                  <c:v>1</c:v>
                </c:pt>
                <c:pt idx="85">
                  <c:v>1</c:v>
                </c:pt>
                <c:pt idx="86">
                  <c:v>1</c:v>
                </c:pt>
                <c:pt idx="87">
                  <c:v>1.25</c:v>
                </c:pt>
                <c:pt idx="88">
                  <c:v>1</c:v>
                </c:pt>
                <c:pt idx="89">
                  <c:v>1</c:v>
                </c:pt>
                <c:pt idx="90">
                  <c:v>1</c:v>
                </c:pt>
                <c:pt idx="91">
                  <c:v>1</c:v>
                </c:pt>
                <c:pt idx="92">
                  <c:v>0</c:v>
                </c:pt>
                <c:pt idx="93">
                  <c:v>2</c:v>
                </c:pt>
                <c:pt idx="94">
                  <c:v>1.25</c:v>
                </c:pt>
                <c:pt idx="95">
                  <c:v>1.25</c:v>
                </c:pt>
                <c:pt idx="96">
                  <c:v>0</c:v>
                </c:pt>
                <c:pt idx="97">
                  <c:v>2</c:v>
                </c:pt>
                <c:pt idx="98">
                  <c:v>1.75</c:v>
                </c:pt>
                <c:pt idx="99">
                  <c:v>2</c:v>
                </c:pt>
                <c:pt idx="100">
                  <c:v>0.75</c:v>
                </c:pt>
                <c:pt idx="101">
                  <c:v>1.25</c:v>
                </c:pt>
                <c:pt idx="102">
                  <c:v>1.25</c:v>
                </c:pt>
                <c:pt idx="103">
                  <c:v>1</c:v>
                </c:pt>
                <c:pt idx="104">
                  <c:v>2</c:v>
                </c:pt>
                <c:pt idx="105">
                  <c:v>1</c:v>
                </c:pt>
                <c:pt idx="106">
                  <c:v>2</c:v>
                </c:pt>
                <c:pt idx="107">
                  <c:v>1.75</c:v>
                </c:pt>
                <c:pt idx="108">
                  <c:v>0.75</c:v>
                </c:pt>
                <c:pt idx="109">
                  <c:v>2</c:v>
                </c:pt>
                <c:pt idx="110">
                  <c:v>1.5</c:v>
                </c:pt>
                <c:pt idx="111">
                  <c:v>2</c:v>
                </c:pt>
                <c:pt idx="112">
                  <c:v>1</c:v>
                </c:pt>
                <c:pt idx="113">
                  <c:v>2</c:v>
                </c:pt>
                <c:pt idx="114">
                  <c:v>1</c:v>
                </c:pt>
                <c:pt idx="115">
                  <c:v>1.25</c:v>
                </c:pt>
                <c:pt idx="116">
                  <c:v>1.25</c:v>
                </c:pt>
                <c:pt idx="117">
                  <c:v>1.25</c:v>
                </c:pt>
                <c:pt idx="118">
                  <c:v>2</c:v>
                </c:pt>
                <c:pt idx="119">
                  <c:v>2</c:v>
                </c:pt>
                <c:pt idx="120">
                  <c:v>1.75</c:v>
                </c:pt>
                <c:pt idx="121">
                  <c:v>2</c:v>
                </c:pt>
                <c:pt idx="122">
                  <c:v>1.25</c:v>
                </c:pt>
                <c:pt idx="123">
                  <c:v>1</c:v>
                </c:pt>
                <c:pt idx="124">
                  <c:v>1.25</c:v>
                </c:pt>
                <c:pt idx="125">
                  <c:v>2</c:v>
                </c:pt>
                <c:pt idx="126">
                  <c:v>1.75</c:v>
                </c:pt>
                <c:pt idx="127">
                  <c:v>1.25</c:v>
                </c:pt>
                <c:pt idx="128">
                  <c:v>1.25</c:v>
                </c:pt>
                <c:pt idx="129">
                  <c:v>2</c:v>
                </c:pt>
                <c:pt idx="130">
                  <c:v>1.25</c:v>
                </c:pt>
                <c:pt idx="131">
                  <c:v>0</c:v>
                </c:pt>
                <c:pt idx="132">
                  <c:v>1.25</c:v>
                </c:pt>
                <c:pt idx="133">
                  <c:v>0</c:v>
                </c:pt>
                <c:pt idx="134">
                  <c:v>1</c:v>
                </c:pt>
                <c:pt idx="135">
                  <c:v>1.25</c:v>
                </c:pt>
                <c:pt idx="136">
                  <c:v>1.25</c:v>
                </c:pt>
                <c:pt idx="137">
                  <c:v>0</c:v>
                </c:pt>
                <c:pt idx="138">
                  <c:v>1.25</c:v>
                </c:pt>
                <c:pt idx="139">
                  <c:v>1</c:v>
                </c:pt>
                <c:pt idx="140">
                  <c:v>1</c:v>
                </c:pt>
                <c:pt idx="141">
                  <c:v>1.25</c:v>
                </c:pt>
                <c:pt idx="142">
                  <c:v>1</c:v>
                </c:pt>
                <c:pt idx="143">
                  <c:v>1</c:v>
                </c:pt>
                <c:pt idx="144">
                  <c:v>0</c:v>
                </c:pt>
                <c:pt idx="145">
                  <c:v>1</c:v>
                </c:pt>
                <c:pt idx="146">
                  <c:v>1.25</c:v>
                </c:pt>
                <c:pt idx="147">
                  <c:v>1.75</c:v>
                </c:pt>
                <c:pt idx="148">
                  <c:v>2</c:v>
                </c:pt>
                <c:pt idx="149">
                  <c:v>1.75</c:v>
                </c:pt>
                <c:pt idx="150">
                  <c:v>1.25</c:v>
                </c:pt>
                <c:pt idx="151">
                  <c:v>1.75</c:v>
                </c:pt>
                <c:pt idx="152">
                  <c:v>1</c:v>
                </c:pt>
                <c:pt idx="153">
                  <c:v>1.25</c:v>
                </c:pt>
                <c:pt idx="154">
                  <c:v>2</c:v>
                </c:pt>
                <c:pt idx="155">
                  <c:v>2</c:v>
                </c:pt>
                <c:pt idx="156">
                  <c:v>2</c:v>
                </c:pt>
                <c:pt idx="157">
                  <c:v>2</c:v>
                </c:pt>
                <c:pt idx="158">
                  <c:v>2</c:v>
                </c:pt>
                <c:pt idx="159">
                  <c:v>1.5</c:v>
                </c:pt>
                <c:pt idx="160">
                  <c:v>1.5</c:v>
                </c:pt>
                <c:pt idx="161">
                  <c:v>1.5</c:v>
                </c:pt>
              </c:numCache>
            </c:numRef>
          </c:yVal>
          <c:smooth val="0"/>
          <c:extLst>
            <c:ext xmlns:c16="http://schemas.microsoft.com/office/drawing/2014/chart" uri="{C3380CC4-5D6E-409C-BE32-E72D297353CC}">
              <c16:uniqueId val="{00000001-0FAF-E04C-B487-E40FD981580E}"/>
            </c:ext>
          </c:extLst>
        </c:ser>
        <c:ser>
          <c:idx val="2"/>
          <c:order val="2"/>
          <c:tx>
            <c:v>Structured</c:v>
          </c:tx>
          <c:spPr>
            <a:ln w="25400" cap="rnd">
              <a:noFill/>
              <a:round/>
            </a:ln>
            <a:effectLst/>
          </c:spPr>
          <c:marker>
            <c:symbol val="circle"/>
            <c:size val="5"/>
            <c:spPr>
              <a:solidFill>
                <a:schemeClr val="accent3"/>
              </a:solidFill>
              <a:ln w="9525">
                <a:solidFill>
                  <a:schemeClr val="accent3"/>
                </a:solidFill>
              </a:ln>
              <a:effectLst/>
            </c:spPr>
          </c:marker>
          <c:xVal>
            <c:numRef>
              <c:f>[1]_output_length_performance!$E$2:$E$167</c:f>
              <c:numCache>
                <c:formatCode>General</c:formatCode>
                <c:ptCount val="166"/>
                <c:pt idx="0">
                  <c:v>896</c:v>
                </c:pt>
                <c:pt idx="1">
                  <c:v>268</c:v>
                </c:pt>
                <c:pt idx="2">
                  <c:v>678</c:v>
                </c:pt>
                <c:pt idx="3">
                  <c:v>294</c:v>
                </c:pt>
                <c:pt idx="4">
                  <c:v>1491</c:v>
                </c:pt>
                <c:pt idx="5">
                  <c:v>906</c:v>
                </c:pt>
                <c:pt idx="6">
                  <c:v>304</c:v>
                </c:pt>
                <c:pt idx="7">
                  <c:v>813</c:v>
                </c:pt>
                <c:pt idx="8">
                  <c:v>293</c:v>
                </c:pt>
                <c:pt idx="9">
                  <c:v>1463</c:v>
                </c:pt>
                <c:pt idx="10">
                  <c:v>953</c:v>
                </c:pt>
                <c:pt idx="11">
                  <c:v>24</c:v>
                </c:pt>
                <c:pt idx="12">
                  <c:v>178</c:v>
                </c:pt>
                <c:pt idx="13">
                  <c:v>739</c:v>
                </c:pt>
                <c:pt idx="14">
                  <c:v>260</c:v>
                </c:pt>
                <c:pt idx="15">
                  <c:v>1466</c:v>
                </c:pt>
                <c:pt idx="16">
                  <c:v>956</c:v>
                </c:pt>
                <c:pt idx="17">
                  <c:v>214</c:v>
                </c:pt>
                <c:pt idx="18">
                  <c:v>876</c:v>
                </c:pt>
                <c:pt idx="19">
                  <c:v>318</c:v>
                </c:pt>
                <c:pt idx="20">
                  <c:v>207</c:v>
                </c:pt>
                <c:pt idx="21">
                  <c:v>2337</c:v>
                </c:pt>
                <c:pt idx="22">
                  <c:v>364</c:v>
                </c:pt>
                <c:pt idx="23">
                  <c:v>407</c:v>
                </c:pt>
                <c:pt idx="24">
                  <c:v>459</c:v>
                </c:pt>
                <c:pt idx="25">
                  <c:v>367</c:v>
                </c:pt>
                <c:pt idx="26">
                  <c:v>405</c:v>
                </c:pt>
                <c:pt idx="27">
                  <c:v>432</c:v>
                </c:pt>
                <c:pt idx="28">
                  <c:v>347</c:v>
                </c:pt>
                <c:pt idx="29">
                  <c:v>402</c:v>
                </c:pt>
                <c:pt idx="30">
                  <c:v>304</c:v>
                </c:pt>
                <c:pt idx="31">
                  <c:v>291</c:v>
                </c:pt>
                <c:pt idx="32">
                  <c:v>314</c:v>
                </c:pt>
                <c:pt idx="33">
                  <c:v>258</c:v>
                </c:pt>
                <c:pt idx="34">
                  <c:v>344</c:v>
                </c:pt>
                <c:pt idx="35">
                  <c:v>323</c:v>
                </c:pt>
                <c:pt idx="36">
                  <c:v>322</c:v>
                </c:pt>
                <c:pt idx="37">
                  <c:v>290</c:v>
                </c:pt>
                <c:pt idx="38">
                  <c:v>323</c:v>
                </c:pt>
                <c:pt idx="39">
                  <c:v>335</c:v>
                </c:pt>
                <c:pt idx="40">
                  <c:v>24</c:v>
                </c:pt>
                <c:pt idx="41">
                  <c:v>24</c:v>
                </c:pt>
                <c:pt idx="42">
                  <c:v>24</c:v>
                </c:pt>
                <c:pt idx="43">
                  <c:v>593</c:v>
                </c:pt>
                <c:pt idx="44">
                  <c:v>673</c:v>
                </c:pt>
                <c:pt idx="45">
                  <c:v>548</c:v>
                </c:pt>
                <c:pt idx="46">
                  <c:v>615</c:v>
                </c:pt>
                <c:pt idx="47">
                  <c:v>183</c:v>
                </c:pt>
                <c:pt idx="48">
                  <c:v>265</c:v>
                </c:pt>
                <c:pt idx="49">
                  <c:v>317</c:v>
                </c:pt>
                <c:pt idx="50">
                  <c:v>296</c:v>
                </c:pt>
                <c:pt idx="51">
                  <c:v>318</c:v>
                </c:pt>
                <c:pt idx="52">
                  <c:v>323</c:v>
                </c:pt>
                <c:pt idx="53">
                  <c:v>333</c:v>
                </c:pt>
                <c:pt idx="54">
                  <c:v>367</c:v>
                </c:pt>
                <c:pt idx="55">
                  <c:v>273</c:v>
                </c:pt>
                <c:pt idx="56">
                  <c:v>304</c:v>
                </c:pt>
                <c:pt idx="57">
                  <c:v>324</c:v>
                </c:pt>
                <c:pt idx="58">
                  <c:v>257</c:v>
                </c:pt>
                <c:pt idx="59">
                  <c:v>332</c:v>
                </c:pt>
                <c:pt idx="60">
                  <c:v>279</c:v>
                </c:pt>
                <c:pt idx="61">
                  <c:v>299</c:v>
                </c:pt>
                <c:pt idx="62">
                  <c:v>264</c:v>
                </c:pt>
                <c:pt idx="63">
                  <c:v>301</c:v>
                </c:pt>
                <c:pt idx="64">
                  <c:v>338</c:v>
                </c:pt>
                <c:pt idx="65">
                  <c:v>260</c:v>
                </c:pt>
                <c:pt idx="66">
                  <c:v>400</c:v>
                </c:pt>
                <c:pt idx="67">
                  <c:v>458</c:v>
                </c:pt>
                <c:pt idx="68">
                  <c:v>488</c:v>
                </c:pt>
                <c:pt idx="69">
                  <c:v>540</c:v>
                </c:pt>
                <c:pt idx="70">
                  <c:v>509</c:v>
                </c:pt>
                <c:pt idx="71">
                  <c:v>511</c:v>
                </c:pt>
                <c:pt idx="72">
                  <c:v>521</c:v>
                </c:pt>
                <c:pt idx="73">
                  <c:v>548</c:v>
                </c:pt>
                <c:pt idx="74">
                  <c:v>337</c:v>
                </c:pt>
                <c:pt idx="75">
                  <c:v>320</c:v>
                </c:pt>
                <c:pt idx="76">
                  <c:v>257</c:v>
                </c:pt>
                <c:pt idx="77">
                  <c:v>324</c:v>
                </c:pt>
                <c:pt idx="78">
                  <c:v>338</c:v>
                </c:pt>
                <c:pt idx="79">
                  <c:v>294</c:v>
                </c:pt>
                <c:pt idx="80">
                  <c:v>258</c:v>
                </c:pt>
                <c:pt idx="81">
                  <c:v>355</c:v>
                </c:pt>
                <c:pt idx="82">
                  <c:v>328</c:v>
                </c:pt>
                <c:pt idx="83">
                  <c:v>283</c:v>
                </c:pt>
                <c:pt idx="84">
                  <c:v>299</c:v>
                </c:pt>
                <c:pt idx="85">
                  <c:v>299</c:v>
                </c:pt>
                <c:pt idx="86">
                  <c:v>290</c:v>
                </c:pt>
                <c:pt idx="87">
                  <c:v>284</c:v>
                </c:pt>
                <c:pt idx="88">
                  <c:v>364</c:v>
                </c:pt>
                <c:pt idx="89">
                  <c:v>267</c:v>
                </c:pt>
                <c:pt idx="90">
                  <c:v>319</c:v>
                </c:pt>
                <c:pt idx="91">
                  <c:v>294</c:v>
                </c:pt>
                <c:pt idx="92">
                  <c:v>263</c:v>
                </c:pt>
                <c:pt idx="93">
                  <c:v>331</c:v>
                </c:pt>
                <c:pt idx="94">
                  <c:v>303</c:v>
                </c:pt>
                <c:pt idx="95">
                  <c:v>318</c:v>
                </c:pt>
                <c:pt idx="96">
                  <c:v>814</c:v>
                </c:pt>
                <c:pt idx="97">
                  <c:v>759</c:v>
                </c:pt>
                <c:pt idx="98">
                  <c:v>460</c:v>
                </c:pt>
                <c:pt idx="99">
                  <c:v>494</c:v>
                </c:pt>
                <c:pt idx="100">
                  <c:v>331</c:v>
                </c:pt>
                <c:pt idx="101">
                  <c:v>680</c:v>
                </c:pt>
                <c:pt idx="102">
                  <c:v>923</c:v>
                </c:pt>
                <c:pt idx="103">
                  <c:v>773</c:v>
                </c:pt>
                <c:pt idx="104">
                  <c:v>249</c:v>
                </c:pt>
                <c:pt idx="105">
                  <c:v>428</c:v>
                </c:pt>
                <c:pt idx="106">
                  <c:v>485</c:v>
                </c:pt>
                <c:pt idx="107">
                  <c:v>420</c:v>
                </c:pt>
                <c:pt idx="108">
                  <c:v>855</c:v>
                </c:pt>
                <c:pt idx="109">
                  <c:v>798</c:v>
                </c:pt>
                <c:pt idx="110">
                  <c:v>860</c:v>
                </c:pt>
                <c:pt idx="111">
                  <c:v>843</c:v>
                </c:pt>
                <c:pt idx="112">
                  <c:v>375</c:v>
                </c:pt>
                <c:pt idx="113">
                  <c:v>886</c:v>
                </c:pt>
                <c:pt idx="114">
                  <c:v>660</c:v>
                </c:pt>
                <c:pt idx="115">
                  <c:v>796</c:v>
                </c:pt>
                <c:pt idx="116">
                  <c:v>868</c:v>
                </c:pt>
                <c:pt idx="117">
                  <c:v>1025</c:v>
                </c:pt>
                <c:pt idx="118">
                  <c:v>486</c:v>
                </c:pt>
                <c:pt idx="119">
                  <c:v>358</c:v>
                </c:pt>
                <c:pt idx="120">
                  <c:v>475</c:v>
                </c:pt>
                <c:pt idx="121">
                  <c:v>423</c:v>
                </c:pt>
                <c:pt idx="122">
                  <c:v>976</c:v>
                </c:pt>
                <c:pt idx="123">
                  <c:v>851</c:v>
                </c:pt>
                <c:pt idx="124">
                  <c:v>849</c:v>
                </c:pt>
                <c:pt idx="125">
                  <c:v>825</c:v>
                </c:pt>
                <c:pt idx="126">
                  <c:v>520</c:v>
                </c:pt>
                <c:pt idx="127">
                  <c:v>904</c:v>
                </c:pt>
                <c:pt idx="128">
                  <c:v>484</c:v>
                </c:pt>
                <c:pt idx="129">
                  <c:v>739</c:v>
                </c:pt>
                <c:pt idx="130">
                  <c:v>799</c:v>
                </c:pt>
                <c:pt idx="131">
                  <c:v>524</c:v>
                </c:pt>
                <c:pt idx="132">
                  <c:v>401</c:v>
                </c:pt>
                <c:pt idx="133">
                  <c:v>781</c:v>
                </c:pt>
                <c:pt idx="134">
                  <c:v>506</c:v>
                </c:pt>
                <c:pt idx="135">
                  <c:v>320</c:v>
                </c:pt>
                <c:pt idx="136">
                  <c:v>486</c:v>
                </c:pt>
                <c:pt idx="137">
                  <c:v>399</c:v>
                </c:pt>
                <c:pt idx="138">
                  <c:v>831</c:v>
                </c:pt>
                <c:pt idx="139">
                  <c:v>491</c:v>
                </c:pt>
                <c:pt idx="140">
                  <c:v>508</c:v>
                </c:pt>
                <c:pt idx="141">
                  <c:v>862</c:v>
                </c:pt>
                <c:pt idx="142">
                  <c:v>434</c:v>
                </c:pt>
                <c:pt idx="143">
                  <c:v>441</c:v>
                </c:pt>
                <c:pt idx="144">
                  <c:v>423</c:v>
                </c:pt>
                <c:pt idx="145">
                  <c:v>525</c:v>
                </c:pt>
                <c:pt idx="146">
                  <c:v>458</c:v>
                </c:pt>
                <c:pt idx="147">
                  <c:v>407</c:v>
                </c:pt>
                <c:pt idx="148">
                  <c:v>285</c:v>
                </c:pt>
                <c:pt idx="149">
                  <c:v>451</c:v>
                </c:pt>
                <c:pt idx="150">
                  <c:v>465</c:v>
                </c:pt>
                <c:pt idx="151">
                  <c:v>507</c:v>
                </c:pt>
                <c:pt idx="152">
                  <c:v>888</c:v>
                </c:pt>
                <c:pt idx="153">
                  <c:v>806</c:v>
                </c:pt>
                <c:pt idx="154">
                  <c:v>544</c:v>
                </c:pt>
                <c:pt idx="155">
                  <c:v>437</c:v>
                </c:pt>
                <c:pt idx="156">
                  <c:v>508</c:v>
                </c:pt>
                <c:pt idx="157">
                  <c:v>444</c:v>
                </c:pt>
                <c:pt idx="158">
                  <c:v>481</c:v>
                </c:pt>
                <c:pt idx="159">
                  <c:v>499</c:v>
                </c:pt>
                <c:pt idx="160">
                  <c:v>450</c:v>
                </c:pt>
                <c:pt idx="161">
                  <c:v>490</c:v>
                </c:pt>
                <c:pt idx="162">
                  <c:v>992</c:v>
                </c:pt>
                <c:pt idx="163">
                  <c:v>570</c:v>
                </c:pt>
                <c:pt idx="164">
                  <c:v>707</c:v>
                </c:pt>
                <c:pt idx="165">
                  <c:v>665</c:v>
                </c:pt>
              </c:numCache>
            </c:numRef>
          </c:xVal>
          <c:yVal>
            <c:numRef>
              <c:f>[1]_output_length_performance!$F$2:$F$167</c:f>
              <c:numCache>
                <c:formatCode>0.00</c:formatCode>
                <c:ptCount val="166"/>
                <c:pt idx="0">
                  <c:v>2</c:v>
                </c:pt>
                <c:pt idx="1">
                  <c:v>2</c:v>
                </c:pt>
                <c:pt idx="2">
                  <c:v>2</c:v>
                </c:pt>
                <c:pt idx="3">
                  <c:v>2</c:v>
                </c:pt>
                <c:pt idx="4">
                  <c:v>2</c:v>
                </c:pt>
                <c:pt idx="5">
                  <c:v>2</c:v>
                </c:pt>
                <c:pt idx="6">
                  <c:v>2</c:v>
                </c:pt>
                <c:pt idx="7">
                  <c:v>2</c:v>
                </c:pt>
                <c:pt idx="8">
                  <c:v>2</c:v>
                </c:pt>
                <c:pt idx="9">
                  <c:v>1.6666666666666667</c:v>
                </c:pt>
                <c:pt idx="10">
                  <c:v>2</c:v>
                </c:pt>
                <c:pt idx="11">
                  <c:v>0</c:v>
                </c:pt>
                <c:pt idx="12">
                  <c:v>1.6666666666666667</c:v>
                </c:pt>
                <c:pt idx="13">
                  <c:v>2</c:v>
                </c:pt>
                <c:pt idx="14">
                  <c:v>1.6666666666666667</c:v>
                </c:pt>
                <c:pt idx="15">
                  <c:v>1.3333333333333333</c:v>
                </c:pt>
                <c:pt idx="16">
                  <c:v>2</c:v>
                </c:pt>
                <c:pt idx="17">
                  <c:v>2</c:v>
                </c:pt>
                <c:pt idx="18">
                  <c:v>2</c:v>
                </c:pt>
                <c:pt idx="19">
                  <c:v>2</c:v>
                </c:pt>
                <c:pt idx="20">
                  <c:v>2</c:v>
                </c:pt>
                <c:pt idx="21">
                  <c:v>2</c:v>
                </c:pt>
                <c:pt idx="22">
                  <c:v>0.8</c:v>
                </c:pt>
                <c:pt idx="23">
                  <c:v>0.8</c:v>
                </c:pt>
                <c:pt idx="24">
                  <c:v>2</c:v>
                </c:pt>
                <c:pt idx="25">
                  <c:v>2</c:v>
                </c:pt>
                <c:pt idx="26">
                  <c:v>1.8</c:v>
                </c:pt>
                <c:pt idx="27">
                  <c:v>2</c:v>
                </c:pt>
                <c:pt idx="28">
                  <c:v>1.6</c:v>
                </c:pt>
                <c:pt idx="29">
                  <c:v>1.8</c:v>
                </c:pt>
                <c:pt idx="30">
                  <c:v>2</c:v>
                </c:pt>
                <c:pt idx="31">
                  <c:v>2</c:v>
                </c:pt>
                <c:pt idx="32">
                  <c:v>1.75</c:v>
                </c:pt>
                <c:pt idx="33">
                  <c:v>2</c:v>
                </c:pt>
                <c:pt idx="34">
                  <c:v>2</c:v>
                </c:pt>
                <c:pt idx="35">
                  <c:v>2</c:v>
                </c:pt>
                <c:pt idx="36">
                  <c:v>2</c:v>
                </c:pt>
                <c:pt idx="37">
                  <c:v>2</c:v>
                </c:pt>
                <c:pt idx="38">
                  <c:v>2</c:v>
                </c:pt>
                <c:pt idx="39">
                  <c:v>2</c:v>
                </c:pt>
                <c:pt idx="40">
                  <c:v>2</c:v>
                </c:pt>
                <c:pt idx="41">
                  <c:v>2</c:v>
                </c:pt>
                <c:pt idx="42">
                  <c:v>2</c:v>
                </c:pt>
                <c:pt idx="43">
                  <c:v>2</c:v>
                </c:pt>
                <c:pt idx="44">
                  <c:v>1.75</c:v>
                </c:pt>
                <c:pt idx="45">
                  <c:v>2</c:v>
                </c:pt>
                <c:pt idx="46">
                  <c:v>2</c:v>
                </c:pt>
                <c:pt idx="47">
                  <c:v>2</c:v>
                </c:pt>
                <c:pt idx="48">
                  <c:v>1.6666666666666667</c:v>
                </c:pt>
                <c:pt idx="49">
                  <c:v>2</c:v>
                </c:pt>
                <c:pt idx="50">
                  <c:v>2</c:v>
                </c:pt>
                <c:pt idx="51">
                  <c:v>2</c:v>
                </c:pt>
                <c:pt idx="52">
                  <c:v>2</c:v>
                </c:pt>
                <c:pt idx="53">
                  <c:v>2</c:v>
                </c:pt>
                <c:pt idx="54">
                  <c:v>2</c:v>
                </c:pt>
                <c:pt idx="55">
                  <c:v>2</c:v>
                </c:pt>
                <c:pt idx="56">
                  <c:v>2</c:v>
                </c:pt>
                <c:pt idx="57">
                  <c:v>1.6666666666666667</c:v>
                </c:pt>
                <c:pt idx="58">
                  <c:v>2</c:v>
                </c:pt>
                <c:pt idx="59">
                  <c:v>1.6666666666666667</c:v>
                </c:pt>
                <c:pt idx="60">
                  <c:v>2</c:v>
                </c:pt>
                <c:pt idx="61">
                  <c:v>2</c:v>
                </c:pt>
                <c:pt idx="62">
                  <c:v>2</c:v>
                </c:pt>
                <c:pt idx="63">
                  <c:v>1</c:v>
                </c:pt>
                <c:pt idx="64">
                  <c:v>1.3333333333333333</c:v>
                </c:pt>
                <c:pt idx="65">
                  <c:v>1.6666666666666667</c:v>
                </c:pt>
                <c:pt idx="66">
                  <c:v>2</c:v>
                </c:pt>
                <c:pt idx="67">
                  <c:v>2</c:v>
                </c:pt>
                <c:pt idx="68">
                  <c:v>2</c:v>
                </c:pt>
                <c:pt idx="69">
                  <c:v>2</c:v>
                </c:pt>
                <c:pt idx="70">
                  <c:v>2</c:v>
                </c:pt>
                <c:pt idx="71">
                  <c:v>2</c:v>
                </c:pt>
                <c:pt idx="72">
                  <c:v>1.6666666666666667</c:v>
                </c:pt>
                <c:pt idx="73">
                  <c:v>2</c:v>
                </c:pt>
                <c:pt idx="74">
                  <c:v>0.75</c:v>
                </c:pt>
                <c:pt idx="75">
                  <c:v>1.25</c:v>
                </c:pt>
                <c:pt idx="76">
                  <c:v>1</c:v>
                </c:pt>
                <c:pt idx="77">
                  <c:v>1.25</c:v>
                </c:pt>
                <c:pt idx="78">
                  <c:v>1</c:v>
                </c:pt>
                <c:pt idx="79">
                  <c:v>1</c:v>
                </c:pt>
                <c:pt idx="80">
                  <c:v>1</c:v>
                </c:pt>
                <c:pt idx="81">
                  <c:v>1</c:v>
                </c:pt>
                <c:pt idx="82">
                  <c:v>1</c:v>
                </c:pt>
                <c:pt idx="83">
                  <c:v>1</c:v>
                </c:pt>
                <c:pt idx="84">
                  <c:v>1.25</c:v>
                </c:pt>
                <c:pt idx="85">
                  <c:v>1.25</c:v>
                </c:pt>
                <c:pt idx="86">
                  <c:v>1</c:v>
                </c:pt>
                <c:pt idx="87">
                  <c:v>1.75</c:v>
                </c:pt>
                <c:pt idx="88">
                  <c:v>1</c:v>
                </c:pt>
                <c:pt idx="89">
                  <c:v>1</c:v>
                </c:pt>
                <c:pt idx="90">
                  <c:v>1</c:v>
                </c:pt>
                <c:pt idx="91">
                  <c:v>1.25</c:v>
                </c:pt>
                <c:pt idx="92">
                  <c:v>1</c:v>
                </c:pt>
                <c:pt idx="93">
                  <c:v>1</c:v>
                </c:pt>
                <c:pt idx="94">
                  <c:v>2</c:v>
                </c:pt>
                <c:pt idx="95">
                  <c:v>0</c:v>
                </c:pt>
                <c:pt idx="96">
                  <c:v>2</c:v>
                </c:pt>
                <c:pt idx="97">
                  <c:v>2</c:v>
                </c:pt>
                <c:pt idx="98">
                  <c:v>1.25</c:v>
                </c:pt>
                <c:pt idx="99">
                  <c:v>1.25</c:v>
                </c:pt>
                <c:pt idx="100">
                  <c:v>1</c:v>
                </c:pt>
                <c:pt idx="101">
                  <c:v>2</c:v>
                </c:pt>
                <c:pt idx="102">
                  <c:v>2</c:v>
                </c:pt>
                <c:pt idx="103">
                  <c:v>2</c:v>
                </c:pt>
                <c:pt idx="104">
                  <c:v>1</c:v>
                </c:pt>
                <c:pt idx="105">
                  <c:v>1.25</c:v>
                </c:pt>
                <c:pt idx="106">
                  <c:v>1.25</c:v>
                </c:pt>
                <c:pt idx="107">
                  <c:v>1</c:v>
                </c:pt>
                <c:pt idx="108">
                  <c:v>2</c:v>
                </c:pt>
                <c:pt idx="109">
                  <c:v>2</c:v>
                </c:pt>
                <c:pt idx="110">
                  <c:v>2</c:v>
                </c:pt>
                <c:pt idx="111">
                  <c:v>2</c:v>
                </c:pt>
                <c:pt idx="112">
                  <c:v>1</c:v>
                </c:pt>
                <c:pt idx="113">
                  <c:v>2</c:v>
                </c:pt>
                <c:pt idx="114">
                  <c:v>2</c:v>
                </c:pt>
                <c:pt idx="115">
                  <c:v>2</c:v>
                </c:pt>
                <c:pt idx="116">
                  <c:v>2</c:v>
                </c:pt>
                <c:pt idx="117">
                  <c:v>2</c:v>
                </c:pt>
                <c:pt idx="118">
                  <c:v>1</c:v>
                </c:pt>
                <c:pt idx="119">
                  <c:v>1.25</c:v>
                </c:pt>
                <c:pt idx="120">
                  <c:v>1.25</c:v>
                </c:pt>
                <c:pt idx="121">
                  <c:v>1.25</c:v>
                </c:pt>
                <c:pt idx="122">
                  <c:v>1.75</c:v>
                </c:pt>
                <c:pt idx="123">
                  <c:v>2</c:v>
                </c:pt>
                <c:pt idx="124">
                  <c:v>1.75</c:v>
                </c:pt>
                <c:pt idx="125">
                  <c:v>2</c:v>
                </c:pt>
                <c:pt idx="126">
                  <c:v>1.25</c:v>
                </c:pt>
                <c:pt idx="127">
                  <c:v>2</c:v>
                </c:pt>
                <c:pt idx="128">
                  <c:v>1.25</c:v>
                </c:pt>
                <c:pt idx="129">
                  <c:v>2</c:v>
                </c:pt>
                <c:pt idx="130">
                  <c:v>1.75</c:v>
                </c:pt>
                <c:pt idx="131">
                  <c:v>1.25</c:v>
                </c:pt>
                <c:pt idx="132">
                  <c:v>1.25</c:v>
                </c:pt>
                <c:pt idx="133">
                  <c:v>2</c:v>
                </c:pt>
                <c:pt idx="134">
                  <c:v>1.25</c:v>
                </c:pt>
                <c:pt idx="135">
                  <c:v>1.25</c:v>
                </c:pt>
                <c:pt idx="136">
                  <c:v>2</c:v>
                </c:pt>
                <c:pt idx="137">
                  <c:v>1.25</c:v>
                </c:pt>
                <c:pt idx="138">
                  <c:v>2</c:v>
                </c:pt>
                <c:pt idx="139">
                  <c:v>1.25</c:v>
                </c:pt>
                <c:pt idx="140">
                  <c:v>1.25</c:v>
                </c:pt>
                <c:pt idx="141">
                  <c:v>2</c:v>
                </c:pt>
                <c:pt idx="142">
                  <c:v>1.25</c:v>
                </c:pt>
                <c:pt idx="143">
                  <c:v>1</c:v>
                </c:pt>
                <c:pt idx="144">
                  <c:v>1</c:v>
                </c:pt>
                <c:pt idx="145">
                  <c:v>1.25</c:v>
                </c:pt>
                <c:pt idx="146">
                  <c:v>1</c:v>
                </c:pt>
                <c:pt idx="147">
                  <c:v>1</c:v>
                </c:pt>
                <c:pt idx="148">
                  <c:v>1</c:v>
                </c:pt>
                <c:pt idx="149">
                  <c:v>1</c:v>
                </c:pt>
                <c:pt idx="150">
                  <c:v>1.25</c:v>
                </c:pt>
                <c:pt idx="151">
                  <c:v>1.25</c:v>
                </c:pt>
                <c:pt idx="152">
                  <c:v>2</c:v>
                </c:pt>
                <c:pt idx="153">
                  <c:v>1.75</c:v>
                </c:pt>
                <c:pt idx="154">
                  <c:v>1.25</c:v>
                </c:pt>
                <c:pt idx="155">
                  <c:v>1.25</c:v>
                </c:pt>
                <c:pt idx="156">
                  <c:v>1</c:v>
                </c:pt>
                <c:pt idx="157">
                  <c:v>1.25</c:v>
                </c:pt>
                <c:pt idx="158">
                  <c:v>2</c:v>
                </c:pt>
                <c:pt idx="159">
                  <c:v>2</c:v>
                </c:pt>
                <c:pt idx="160">
                  <c:v>2</c:v>
                </c:pt>
                <c:pt idx="161">
                  <c:v>1</c:v>
                </c:pt>
                <c:pt idx="162">
                  <c:v>2</c:v>
                </c:pt>
                <c:pt idx="163">
                  <c:v>2</c:v>
                </c:pt>
                <c:pt idx="164">
                  <c:v>2</c:v>
                </c:pt>
                <c:pt idx="165">
                  <c:v>2</c:v>
                </c:pt>
              </c:numCache>
            </c:numRef>
          </c:yVal>
          <c:smooth val="0"/>
          <c:extLst>
            <c:ext xmlns:c16="http://schemas.microsoft.com/office/drawing/2014/chart" uri="{C3380CC4-5D6E-409C-BE32-E72D297353CC}">
              <c16:uniqueId val="{00000002-0FAF-E04C-B487-E40FD981580E}"/>
            </c:ext>
          </c:extLst>
        </c:ser>
        <c:dLbls>
          <c:showLegendKey val="0"/>
          <c:showVal val="0"/>
          <c:showCatName val="0"/>
          <c:showSerName val="0"/>
          <c:showPercent val="0"/>
          <c:showBubbleSize val="0"/>
        </c:dLbls>
        <c:axId val="556160255"/>
        <c:axId val="556130175"/>
      </c:scatterChart>
      <c:valAx>
        <c:axId val="5561602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6130175"/>
        <c:crosses val="autoZero"/>
        <c:crossBetween val="midCat"/>
      </c:valAx>
      <c:valAx>
        <c:axId val="55613017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2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55616025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152400</xdr:colOff>
      <xdr:row>6</xdr:row>
      <xdr:rowOff>76200</xdr:rowOff>
    </xdr:from>
    <xdr:to>
      <xdr:col>18</xdr:col>
      <xdr:colOff>63500</xdr:colOff>
      <xdr:row>35</xdr:row>
      <xdr:rowOff>139700</xdr:rowOff>
    </xdr:to>
    <xdr:graphicFrame macro="">
      <xdr:nvGraphicFramePr>
        <xdr:cNvPr id="2" name="Chart 1">
          <a:extLst>
            <a:ext uri="{FF2B5EF4-FFF2-40B4-BE49-F238E27FC236}">
              <a16:creationId xmlns:a16="http://schemas.microsoft.com/office/drawing/2014/main" id="{D027048E-E13A-5B4C-859F-11B1E8C9D2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12700</xdr:colOff>
      <xdr:row>0</xdr:row>
      <xdr:rowOff>184150</xdr:rowOff>
    </xdr:from>
    <xdr:to>
      <xdr:col>17</xdr:col>
      <xdr:colOff>25400</xdr:colOff>
      <xdr:row>47</xdr:row>
      <xdr:rowOff>38100</xdr:rowOff>
    </xdr:to>
    <xdr:graphicFrame macro="">
      <xdr:nvGraphicFramePr>
        <xdr:cNvPr id="3" name="Chart 2">
          <a:extLst>
            <a:ext uri="{FF2B5EF4-FFF2-40B4-BE49-F238E27FC236}">
              <a16:creationId xmlns:a16="http://schemas.microsoft.com/office/drawing/2014/main" id="{D8DB7A5D-E1B9-2E4A-A605-8E90E87E1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431800</xdr:colOff>
      <xdr:row>9</xdr:row>
      <xdr:rowOff>184150</xdr:rowOff>
    </xdr:from>
    <xdr:to>
      <xdr:col>19</xdr:col>
      <xdr:colOff>368300</xdr:colOff>
      <xdr:row>46</xdr:row>
      <xdr:rowOff>0</xdr:rowOff>
    </xdr:to>
    <xdr:graphicFrame macro="">
      <xdr:nvGraphicFramePr>
        <xdr:cNvPr id="2" name="Chart 1">
          <a:extLst>
            <a:ext uri="{FF2B5EF4-FFF2-40B4-BE49-F238E27FC236}">
              <a16:creationId xmlns:a16="http://schemas.microsoft.com/office/drawing/2014/main" id="{BF4F5D2D-66B2-6E4D-8898-7545829FD4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615950</xdr:colOff>
      <xdr:row>5</xdr:row>
      <xdr:rowOff>44450</xdr:rowOff>
    </xdr:from>
    <xdr:to>
      <xdr:col>28</xdr:col>
      <xdr:colOff>203200</xdr:colOff>
      <xdr:row>45</xdr:row>
      <xdr:rowOff>12700</xdr:rowOff>
    </xdr:to>
    <xdr:graphicFrame macro="">
      <xdr:nvGraphicFramePr>
        <xdr:cNvPr id="2" name="Chart 1">
          <a:extLst>
            <a:ext uri="{FF2B5EF4-FFF2-40B4-BE49-F238E27FC236}">
              <a16:creationId xmlns:a16="http://schemas.microsoft.com/office/drawing/2014/main" id="{F32F4ED2-A511-824B-875B-358ED56D7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_explorai/explorai-projects/projects/cogniconsole/cogniconsole.xlsx" TargetMode="External"/><Relationship Id="rId2" Type="http://schemas.openxmlformats.org/officeDocument/2006/relationships/externalLinkPath" Target="/Users/vfv212/Documents/_explorai/explorai-projects/projects/cogniconsole/cogniconsole.xlsx" TargetMode="External"/><Relationship Id="rId1" Type="http://schemas.openxmlformats.org/officeDocument/2006/relationships/externalLinkPath" Target="/Users/vfv212/Documents/_explorai/explorai-projects/projects/cogniconsole/cogniconso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_notes"/>
      <sheetName val="Sheet1"/>
      <sheetName val="_rubric"/>
      <sheetName val="_raw_scoring"/>
      <sheetName val="_performance_summary"/>
      <sheetName val="_delta_analysis"/>
      <sheetName val="_failure_analysis"/>
      <sheetName val="_output_length_performance"/>
      <sheetName val="Sheet3"/>
      <sheetName val="full_game"/>
      <sheetName val="chaotic_illegal_off_context"/>
      <sheetName val="chaotic_competing_constraint_re"/>
      <sheetName val="chaotic_competing_score"/>
      <sheetName val="chaotic_illegal_bypass_unlocked"/>
      <sheetName val="chaotic_travel_visited_city"/>
      <sheetName val="visit_location_after_unlocking"/>
      <sheetName val="illegal_invalid_command"/>
      <sheetName val="chaotic_same_location"/>
      <sheetName val="chaotic_mispelled_city"/>
      <sheetName val="chaotic_mispelled_location"/>
      <sheetName val="chaotic_beyond_case_days"/>
      <sheetName val="Sheet9"/>
    </sheetNames>
    <sheetDataSet>
      <sheetData sheetId="0"/>
      <sheetData sheetId="1"/>
      <sheetData sheetId="2"/>
      <sheetData sheetId="3"/>
      <sheetData sheetId="4">
        <row r="12">
          <cell r="B12">
            <v>0.54675570316348665</v>
          </cell>
          <cell r="C12">
            <v>0.54042898891851843</v>
          </cell>
          <cell r="D12">
            <v>0.44543540318737346</v>
          </cell>
        </row>
        <row r="13">
          <cell r="B13">
            <v>0.30802828267044163</v>
          </cell>
          <cell r="C13">
            <v>0.38911247023547574</v>
          </cell>
          <cell r="D13">
            <v>0.33524866392972835</v>
          </cell>
        </row>
        <row r="14">
          <cell r="B14">
            <v>0.35254268064682021</v>
          </cell>
          <cell r="C14">
            <v>0.73986985842606645</v>
          </cell>
          <cell r="D14">
            <v>0.24717460087457549</v>
          </cell>
        </row>
        <row r="15">
          <cell r="B15">
            <v>0.52656995670605233</v>
          </cell>
          <cell r="C15">
            <v>0.52581166888327047</v>
          </cell>
          <cell r="D15">
            <v>0.45005603441843262</v>
          </cell>
        </row>
        <row r="16">
          <cell r="B16">
            <v>0</v>
          </cell>
          <cell r="C16">
            <v>0</v>
          </cell>
          <cell r="D16">
            <v>0</v>
          </cell>
        </row>
      </sheetData>
      <sheetData sheetId="5">
        <row r="12">
          <cell r="A12" t="str">
            <v>P1</v>
          </cell>
          <cell r="B12">
            <v>0.24603174603174605</v>
          </cell>
          <cell r="C12">
            <v>0</v>
          </cell>
        </row>
        <row r="13">
          <cell r="A13" t="str">
            <v>P2</v>
          </cell>
          <cell r="B13">
            <v>5.4173913043477961E-2</v>
          </cell>
          <cell r="C13">
            <v>0</v>
          </cell>
        </row>
        <row r="14">
          <cell r="A14" t="str">
            <v>P3</v>
          </cell>
          <cell r="B14">
            <v>0.16639828234031118</v>
          </cell>
          <cell r="C14">
            <v>0</v>
          </cell>
        </row>
        <row r="15">
          <cell r="A15" t="str">
            <v>P4</v>
          </cell>
          <cell r="B15">
            <v>-5.6179775280897903E-3</v>
          </cell>
          <cell r="C15">
            <v>0</v>
          </cell>
        </row>
        <row r="16">
          <cell r="A16" t="str">
            <v>P5</v>
          </cell>
          <cell r="B16">
            <v>0.5</v>
          </cell>
          <cell r="C16">
            <v>0</v>
          </cell>
        </row>
      </sheetData>
      <sheetData sheetId="6"/>
      <sheetData sheetId="7">
        <row r="2">
          <cell r="A2">
            <v>695</v>
          </cell>
          <cell r="B2">
            <v>1.6666666666666667</v>
          </cell>
          <cell r="C2">
            <v>810</v>
          </cell>
          <cell r="D2">
            <v>1.6666666666666667</v>
          </cell>
          <cell r="E2">
            <v>896</v>
          </cell>
          <cell r="F2">
            <v>2</v>
          </cell>
        </row>
        <row r="3">
          <cell r="A3">
            <v>201</v>
          </cell>
          <cell r="B3">
            <v>1.6666666666666667</v>
          </cell>
          <cell r="C3">
            <v>236</v>
          </cell>
          <cell r="D3">
            <v>2</v>
          </cell>
          <cell r="E3">
            <v>268</v>
          </cell>
          <cell r="F3">
            <v>2</v>
          </cell>
        </row>
        <row r="4">
          <cell r="A4">
            <v>730</v>
          </cell>
          <cell r="B4">
            <v>1.3333333333333333</v>
          </cell>
          <cell r="C4">
            <v>857</v>
          </cell>
          <cell r="D4">
            <v>1</v>
          </cell>
          <cell r="E4">
            <v>678</v>
          </cell>
          <cell r="F4">
            <v>2</v>
          </cell>
        </row>
        <row r="5">
          <cell r="A5">
            <v>202</v>
          </cell>
          <cell r="B5">
            <v>2</v>
          </cell>
          <cell r="C5">
            <v>338</v>
          </cell>
          <cell r="D5">
            <v>2</v>
          </cell>
          <cell r="E5">
            <v>294</v>
          </cell>
          <cell r="F5">
            <v>2</v>
          </cell>
        </row>
        <row r="6">
          <cell r="A6">
            <v>1685</v>
          </cell>
          <cell r="B6">
            <v>0.66666666666666663</v>
          </cell>
          <cell r="C6">
            <v>1544</v>
          </cell>
          <cell r="D6">
            <v>1.3333333333333333</v>
          </cell>
          <cell r="E6">
            <v>1491</v>
          </cell>
          <cell r="F6">
            <v>2</v>
          </cell>
        </row>
        <row r="7">
          <cell r="A7">
            <v>683</v>
          </cell>
          <cell r="B7">
            <v>1.6666666666666667</v>
          </cell>
          <cell r="C7">
            <v>776</v>
          </cell>
          <cell r="D7">
            <v>0.66666666666666663</v>
          </cell>
          <cell r="E7">
            <v>906</v>
          </cell>
          <cell r="F7">
            <v>2</v>
          </cell>
        </row>
        <row r="8">
          <cell r="A8">
            <v>167</v>
          </cell>
          <cell r="B8">
            <v>2</v>
          </cell>
          <cell r="C8">
            <v>208</v>
          </cell>
          <cell r="D8">
            <v>2</v>
          </cell>
          <cell r="E8">
            <v>304</v>
          </cell>
          <cell r="F8">
            <v>2</v>
          </cell>
        </row>
        <row r="9">
          <cell r="A9">
            <v>692</v>
          </cell>
          <cell r="B9">
            <v>1.3333333333333333</v>
          </cell>
          <cell r="C9">
            <v>789</v>
          </cell>
          <cell r="D9">
            <v>2</v>
          </cell>
          <cell r="E9">
            <v>813</v>
          </cell>
          <cell r="F9">
            <v>2</v>
          </cell>
        </row>
        <row r="10">
          <cell r="A10">
            <v>267</v>
          </cell>
          <cell r="B10">
            <v>2</v>
          </cell>
          <cell r="C10">
            <v>372</v>
          </cell>
          <cell r="D10">
            <v>1.6666666666666667</v>
          </cell>
          <cell r="E10">
            <v>293</v>
          </cell>
          <cell r="F10">
            <v>2</v>
          </cell>
        </row>
        <row r="11">
          <cell r="A11">
            <v>1627</v>
          </cell>
          <cell r="B11">
            <v>2</v>
          </cell>
          <cell r="C11">
            <v>1589</v>
          </cell>
          <cell r="D11">
            <v>1.3333333333333333</v>
          </cell>
          <cell r="E11">
            <v>1463</v>
          </cell>
          <cell r="F11">
            <v>1.6666666666666667</v>
          </cell>
        </row>
        <row r="12">
          <cell r="A12">
            <v>800</v>
          </cell>
          <cell r="B12">
            <v>1.6666666666666667</v>
          </cell>
          <cell r="C12">
            <v>782</v>
          </cell>
          <cell r="D12">
            <v>2</v>
          </cell>
          <cell r="E12">
            <v>953</v>
          </cell>
          <cell r="F12">
            <v>2</v>
          </cell>
        </row>
        <row r="13">
          <cell r="A13">
            <v>139</v>
          </cell>
          <cell r="B13">
            <v>2</v>
          </cell>
          <cell r="C13">
            <v>196</v>
          </cell>
          <cell r="D13">
            <v>2</v>
          </cell>
          <cell r="E13">
            <v>24</v>
          </cell>
          <cell r="F13">
            <v>0</v>
          </cell>
        </row>
        <row r="14">
          <cell r="A14">
            <v>741</v>
          </cell>
          <cell r="B14">
            <v>1</v>
          </cell>
          <cell r="C14">
            <v>827</v>
          </cell>
          <cell r="D14">
            <v>2</v>
          </cell>
          <cell r="E14">
            <v>178</v>
          </cell>
          <cell r="F14">
            <v>1.6666666666666667</v>
          </cell>
        </row>
        <row r="15">
          <cell r="A15">
            <v>220</v>
          </cell>
          <cell r="B15">
            <v>2</v>
          </cell>
          <cell r="C15">
            <v>337</v>
          </cell>
          <cell r="D15">
            <v>2</v>
          </cell>
          <cell r="E15">
            <v>739</v>
          </cell>
          <cell r="F15">
            <v>2</v>
          </cell>
        </row>
        <row r="16">
          <cell r="A16">
            <v>1571</v>
          </cell>
          <cell r="B16">
            <v>2</v>
          </cell>
          <cell r="C16">
            <v>1388</v>
          </cell>
          <cell r="D16">
            <v>2</v>
          </cell>
          <cell r="E16">
            <v>260</v>
          </cell>
          <cell r="F16">
            <v>1.6666666666666667</v>
          </cell>
        </row>
        <row r="17">
          <cell r="A17">
            <v>847</v>
          </cell>
          <cell r="B17">
            <v>2</v>
          </cell>
          <cell r="C17">
            <v>849</v>
          </cell>
          <cell r="D17">
            <v>1.6666666666666667</v>
          </cell>
          <cell r="E17">
            <v>1466</v>
          </cell>
          <cell r="F17">
            <v>1.3333333333333333</v>
          </cell>
        </row>
        <row r="18">
          <cell r="A18">
            <v>157</v>
          </cell>
          <cell r="B18">
            <v>2</v>
          </cell>
          <cell r="C18">
            <v>290</v>
          </cell>
          <cell r="D18">
            <v>1.3333333333333333</v>
          </cell>
          <cell r="E18">
            <v>956</v>
          </cell>
          <cell r="F18">
            <v>2</v>
          </cell>
        </row>
        <row r="19">
          <cell r="A19">
            <v>840</v>
          </cell>
          <cell r="B19">
            <v>1</v>
          </cell>
          <cell r="C19">
            <v>820</v>
          </cell>
          <cell r="D19">
            <v>2</v>
          </cell>
          <cell r="E19">
            <v>214</v>
          </cell>
          <cell r="F19">
            <v>2</v>
          </cell>
        </row>
        <row r="20">
          <cell r="A20">
            <v>132</v>
          </cell>
          <cell r="B20">
            <v>0</v>
          </cell>
          <cell r="C20">
            <v>132</v>
          </cell>
          <cell r="D20">
            <v>0</v>
          </cell>
          <cell r="E20">
            <v>876</v>
          </cell>
          <cell r="F20">
            <v>2</v>
          </cell>
        </row>
        <row r="21">
          <cell r="A21">
            <v>284</v>
          </cell>
          <cell r="B21">
            <v>2</v>
          </cell>
          <cell r="C21">
            <v>310</v>
          </cell>
          <cell r="D21">
            <v>2</v>
          </cell>
          <cell r="E21">
            <v>318</v>
          </cell>
          <cell r="F21">
            <v>2</v>
          </cell>
        </row>
        <row r="22">
          <cell r="A22">
            <v>2260</v>
          </cell>
          <cell r="B22">
            <v>1.3333333333333333</v>
          </cell>
          <cell r="C22">
            <v>2038</v>
          </cell>
          <cell r="D22">
            <v>1.3333333333333333</v>
          </cell>
          <cell r="E22">
            <v>207</v>
          </cell>
          <cell r="F22">
            <v>2</v>
          </cell>
        </row>
        <row r="23">
          <cell r="A23">
            <v>219</v>
          </cell>
          <cell r="B23">
            <v>0.8</v>
          </cell>
          <cell r="C23">
            <v>247</v>
          </cell>
          <cell r="D23">
            <v>2</v>
          </cell>
          <cell r="E23">
            <v>2337</v>
          </cell>
          <cell r="F23">
            <v>2</v>
          </cell>
        </row>
        <row r="24">
          <cell r="A24">
            <v>444</v>
          </cell>
          <cell r="B24">
            <v>2</v>
          </cell>
          <cell r="C24">
            <v>431</v>
          </cell>
          <cell r="D24">
            <v>2</v>
          </cell>
          <cell r="E24">
            <v>364</v>
          </cell>
          <cell r="F24">
            <v>0.8</v>
          </cell>
        </row>
        <row r="25">
          <cell r="A25">
            <v>387</v>
          </cell>
          <cell r="B25">
            <v>2</v>
          </cell>
          <cell r="C25">
            <v>371</v>
          </cell>
          <cell r="D25">
            <v>2</v>
          </cell>
          <cell r="E25">
            <v>407</v>
          </cell>
          <cell r="F25">
            <v>0.8</v>
          </cell>
        </row>
        <row r="26">
          <cell r="A26">
            <v>226</v>
          </cell>
          <cell r="B26">
            <v>1.8</v>
          </cell>
          <cell r="C26">
            <v>246</v>
          </cell>
          <cell r="D26">
            <v>2</v>
          </cell>
          <cell r="E26">
            <v>459</v>
          </cell>
          <cell r="F26">
            <v>2</v>
          </cell>
        </row>
        <row r="27">
          <cell r="A27">
            <v>469</v>
          </cell>
          <cell r="B27">
            <v>2</v>
          </cell>
          <cell r="C27">
            <v>442</v>
          </cell>
          <cell r="D27">
            <v>2</v>
          </cell>
          <cell r="E27">
            <v>367</v>
          </cell>
          <cell r="F27">
            <v>2</v>
          </cell>
        </row>
        <row r="28">
          <cell r="A28">
            <v>206</v>
          </cell>
          <cell r="B28">
            <v>1.6</v>
          </cell>
          <cell r="C28">
            <v>282</v>
          </cell>
          <cell r="D28">
            <v>1.6</v>
          </cell>
          <cell r="E28">
            <v>405</v>
          </cell>
          <cell r="F28">
            <v>1.8</v>
          </cell>
        </row>
        <row r="29">
          <cell r="A29">
            <v>291</v>
          </cell>
          <cell r="B29">
            <v>1.8</v>
          </cell>
          <cell r="C29">
            <v>447</v>
          </cell>
          <cell r="D29">
            <v>1.8</v>
          </cell>
          <cell r="E29">
            <v>432</v>
          </cell>
          <cell r="F29">
            <v>2</v>
          </cell>
        </row>
        <row r="30">
          <cell r="A30">
            <v>214</v>
          </cell>
          <cell r="B30">
            <v>2</v>
          </cell>
          <cell r="C30">
            <v>240</v>
          </cell>
          <cell r="D30">
            <v>2</v>
          </cell>
          <cell r="E30">
            <v>347</v>
          </cell>
          <cell r="F30">
            <v>1.6</v>
          </cell>
        </row>
        <row r="31">
          <cell r="A31">
            <v>214</v>
          </cell>
          <cell r="B31">
            <v>2</v>
          </cell>
          <cell r="C31">
            <v>381</v>
          </cell>
          <cell r="D31">
            <v>2</v>
          </cell>
          <cell r="E31">
            <v>402</v>
          </cell>
          <cell r="F31">
            <v>1.8</v>
          </cell>
        </row>
        <row r="32">
          <cell r="A32">
            <v>209</v>
          </cell>
          <cell r="B32">
            <v>1.75</v>
          </cell>
          <cell r="C32">
            <v>310</v>
          </cell>
          <cell r="D32">
            <v>1.5</v>
          </cell>
          <cell r="E32">
            <v>304</v>
          </cell>
          <cell r="F32">
            <v>2</v>
          </cell>
        </row>
        <row r="33">
          <cell r="A33">
            <v>199</v>
          </cell>
          <cell r="B33">
            <v>2</v>
          </cell>
          <cell r="C33">
            <v>304</v>
          </cell>
          <cell r="D33">
            <v>2</v>
          </cell>
          <cell r="E33">
            <v>291</v>
          </cell>
          <cell r="F33">
            <v>2</v>
          </cell>
        </row>
        <row r="34">
          <cell r="A34">
            <v>243</v>
          </cell>
          <cell r="B34">
            <v>1.5</v>
          </cell>
          <cell r="C34">
            <v>321</v>
          </cell>
          <cell r="D34">
            <v>1.5</v>
          </cell>
          <cell r="E34">
            <v>314</v>
          </cell>
          <cell r="F34">
            <v>1.75</v>
          </cell>
        </row>
        <row r="35">
          <cell r="A35">
            <v>198</v>
          </cell>
          <cell r="B35">
            <v>1.5</v>
          </cell>
          <cell r="C35">
            <v>276</v>
          </cell>
          <cell r="D35">
            <v>1.5</v>
          </cell>
          <cell r="E35">
            <v>258</v>
          </cell>
          <cell r="F35">
            <v>2</v>
          </cell>
        </row>
        <row r="36">
          <cell r="A36">
            <v>201</v>
          </cell>
          <cell r="B36">
            <v>1.75</v>
          </cell>
          <cell r="C36">
            <v>317</v>
          </cell>
          <cell r="D36">
            <v>2</v>
          </cell>
          <cell r="E36">
            <v>344</v>
          </cell>
          <cell r="F36">
            <v>2</v>
          </cell>
        </row>
        <row r="37">
          <cell r="A37">
            <v>216</v>
          </cell>
          <cell r="B37">
            <v>2</v>
          </cell>
          <cell r="C37">
            <v>374</v>
          </cell>
          <cell r="D37">
            <v>2</v>
          </cell>
          <cell r="E37">
            <v>323</v>
          </cell>
          <cell r="F37">
            <v>2</v>
          </cell>
        </row>
        <row r="38">
          <cell r="A38">
            <v>236</v>
          </cell>
          <cell r="B38">
            <v>2</v>
          </cell>
          <cell r="C38">
            <v>242</v>
          </cell>
          <cell r="D38">
            <v>2</v>
          </cell>
          <cell r="E38">
            <v>322</v>
          </cell>
          <cell r="F38">
            <v>2</v>
          </cell>
        </row>
        <row r="39">
          <cell r="A39">
            <v>24</v>
          </cell>
          <cell r="B39">
            <v>2</v>
          </cell>
          <cell r="C39">
            <v>24</v>
          </cell>
          <cell r="D39">
            <v>2</v>
          </cell>
          <cell r="E39">
            <v>290</v>
          </cell>
          <cell r="F39">
            <v>2</v>
          </cell>
        </row>
        <row r="40">
          <cell r="A40">
            <v>24</v>
          </cell>
          <cell r="B40">
            <v>2</v>
          </cell>
          <cell r="C40">
            <v>24</v>
          </cell>
          <cell r="D40">
            <v>2</v>
          </cell>
          <cell r="E40">
            <v>323</v>
          </cell>
          <cell r="F40">
            <v>2</v>
          </cell>
        </row>
        <row r="41">
          <cell r="A41">
            <v>24</v>
          </cell>
          <cell r="B41">
            <v>2</v>
          </cell>
          <cell r="C41">
            <v>24</v>
          </cell>
          <cell r="D41">
            <v>2</v>
          </cell>
          <cell r="E41">
            <v>335</v>
          </cell>
          <cell r="F41">
            <v>2</v>
          </cell>
        </row>
        <row r="42">
          <cell r="A42">
            <v>340</v>
          </cell>
          <cell r="B42">
            <v>2</v>
          </cell>
          <cell r="C42">
            <v>869</v>
          </cell>
          <cell r="D42">
            <v>0.25</v>
          </cell>
          <cell r="E42">
            <v>24</v>
          </cell>
          <cell r="F42">
            <v>2</v>
          </cell>
        </row>
        <row r="43">
          <cell r="A43">
            <v>405</v>
          </cell>
          <cell r="B43">
            <v>1.25</v>
          </cell>
          <cell r="C43">
            <v>496</v>
          </cell>
          <cell r="D43">
            <v>2</v>
          </cell>
          <cell r="E43">
            <v>24</v>
          </cell>
          <cell r="F43">
            <v>2</v>
          </cell>
        </row>
        <row r="44">
          <cell r="A44">
            <v>432</v>
          </cell>
          <cell r="B44">
            <v>2</v>
          </cell>
          <cell r="C44">
            <v>661</v>
          </cell>
          <cell r="D44">
            <v>1.5</v>
          </cell>
          <cell r="E44">
            <v>24</v>
          </cell>
          <cell r="F44">
            <v>2</v>
          </cell>
        </row>
        <row r="45">
          <cell r="A45">
            <v>397</v>
          </cell>
          <cell r="B45">
            <v>1.6</v>
          </cell>
          <cell r="C45">
            <v>606</v>
          </cell>
          <cell r="D45">
            <v>1.6</v>
          </cell>
          <cell r="E45">
            <v>593</v>
          </cell>
          <cell r="F45">
            <v>2</v>
          </cell>
        </row>
        <row r="46">
          <cell r="A46">
            <v>160</v>
          </cell>
          <cell r="B46">
            <v>1.3333333333333333</v>
          </cell>
          <cell r="C46">
            <v>611</v>
          </cell>
          <cell r="D46">
            <v>2</v>
          </cell>
          <cell r="E46">
            <v>673</v>
          </cell>
          <cell r="F46">
            <v>1.75</v>
          </cell>
        </row>
        <row r="47">
          <cell r="A47">
            <v>182</v>
          </cell>
          <cell r="B47">
            <v>1.3333333333333333</v>
          </cell>
          <cell r="C47">
            <v>222</v>
          </cell>
          <cell r="D47">
            <v>1.3333333333333333</v>
          </cell>
          <cell r="E47">
            <v>548</v>
          </cell>
          <cell r="F47">
            <v>2</v>
          </cell>
        </row>
        <row r="48">
          <cell r="A48">
            <v>133</v>
          </cell>
          <cell r="B48">
            <v>1.3333333333333333</v>
          </cell>
          <cell r="C48">
            <v>304</v>
          </cell>
          <cell r="D48">
            <v>1.6666666666666667</v>
          </cell>
          <cell r="E48">
            <v>615</v>
          </cell>
          <cell r="F48">
            <v>2</v>
          </cell>
        </row>
        <row r="49">
          <cell r="A49">
            <v>221</v>
          </cell>
          <cell r="B49">
            <v>2</v>
          </cell>
          <cell r="C49">
            <v>200</v>
          </cell>
          <cell r="D49">
            <v>1.6666666666666667</v>
          </cell>
          <cell r="E49">
            <v>183</v>
          </cell>
          <cell r="F49">
            <v>2</v>
          </cell>
        </row>
        <row r="50">
          <cell r="A50">
            <v>204</v>
          </cell>
          <cell r="B50">
            <v>1.3333333333333333</v>
          </cell>
          <cell r="C50">
            <v>209</v>
          </cell>
          <cell r="D50">
            <v>1.6666666666666667</v>
          </cell>
          <cell r="E50">
            <v>265</v>
          </cell>
          <cell r="F50">
            <v>1.6666666666666667</v>
          </cell>
        </row>
        <row r="51">
          <cell r="A51">
            <v>154</v>
          </cell>
          <cell r="B51">
            <v>1</v>
          </cell>
          <cell r="C51">
            <v>277</v>
          </cell>
          <cell r="D51">
            <v>1.6666666666666667</v>
          </cell>
          <cell r="E51">
            <v>317</v>
          </cell>
          <cell r="F51">
            <v>2</v>
          </cell>
        </row>
        <row r="52">
          <cell r="A52">
            <v>177</v>
          </cell>
          <cell r="B52">
            <v>1.3333333333333333</v>
          </cell>
          <cell r="C52">
            <v>299</v>
          </cell>
          <cell r="D52">
            <v>1.3333333333333333</v>
          </cell>
          <cell r="E52">
            <v>296</v>
          </cell>
          <cell r="F52">
            <v>2</v>
          </cell>
        </row>
        <row r="53">
          <cell r="A53">
            <v>256</v>
          </cell>
          <cell r="B53">
            <v>2</v>
          </cell>
          <cell r="C53">
            <v>212</v>
          </cell>
          <cell r="D53">
            <v>1.6666666666666667</v>
          </cell>
          <cell r="E53">
            <v>318</v>
          </cell>
          <cell r="F53">
            <v>2</v>
          </cell>
        </row>
        <row r="54">
          <cell r="A54">
            <v>321</v>
          </cell>
          <cell r="B54">
            <v>1</v>
          </cell>
          <cell r="C54">
            <v>366</v>
          </cell>
          <cell r="D54">
            <v>0.66666666666666663</v>
          </cell>
          <cell r="E54">
            <v>323</v>
          </cell>
          <cell r="F54">
            <v>2</v>
          </cell>
        </row>
        <row r="55">
          <cell r="A55">
            <v>327</v>
          </cell>
          <cell r="B55">
            <v>2</v>
          </cell>
          <cell r="C55">
            <v>266</v>
          </cell>
          <cell r="D55">
            <v>2</v>
          </cell>
          <cell r="E55">
            <v>333</v>
          </cell>
          <cell r="F55">
            <v>2</v>
          </cell>
        </row>
        <row r="56">
          <cell r="A56">
            <v>241</v>
          </cell>
          <cell r="B56">
            <v>2</v>
          </cell>
          <cell r="C56">
            <v>251</v>
          </cell>
          <cell r="D56">
            <v>2</v>
          </cell>
          <cell r="E56">
            <v>367</v>
          </cell>
          <cell r="F56">
            <v>2</v>
          </cell>
        </row>
        <row r="57">
          <cell r="A57">
            <v>325</v>
          </cell>
          <cell r="B57">
            <v>2</v>
          </cell>
          <cell r="C57">
            <v>305</v>
          </cell>
          <cell r="D57">
            <v>2</v>
          </cell>
          <cell r="E57">
            <v>273</v>
          </cell>
          <cell r="F57">
            <v>2</v>
          </cell>
        </row>
        <row r="58">
          <cell r="A58">
            <v>199</v>
          </cell>
          <cell r="B58">
            <v>1.6666666666666667</v>
          </cell>
          <cell r="C58">
            <v>410</v>
          </cell>
          <cell r="D58">
            <v>2</v>
          </cell>
          <cell r="E58">
            <v>304</v>
          </cell>
          <cell r="F58">
            <v>2</v>
          </cell>
        </row>
        <row r="59">
          <cell r="A59">
            <v>266</v>
          </cell>
          <cell r="B59">
            <v>2</v>
          </cell>
          <cell r="C59">
            <v>291</v>
          </cell>
          <cell r="D59">
            <v>2</v>
          </cell>
          <cell r="E59">
            <v>324</v>
          </cell>
          <cell r="F59">
            <v>1.6666666666666667</v>
          </cell>
        </row>
        <row r="60">
          <cell r="A60">
            <v>268</v>
          </cell>
          <cell r="B60">
            <v>2</v>
          </cell>
          <cell r="C60">
            <v>357</v>
          </cell>
          <cell r="D60">
            <v>2</v>
          </cell>
          <cell r="E60">
            <v>257</v>
          </cell>
          <cell r="F60">
            <v>2</v>
          </cell>
        </row>
        <row r="61">
          <cell r="A61">
            <v>313</v>
          </cell>
          <cell r="B61">
            <v>2</v>
          </cell>
          <cell r="C61">
            <v>394</v>
          </cell>
          <cell r="D61">
            <v>2</v>
          </cell>
          <cell r="E61">
            <v>332</v>
          </cell>
          <cell r="F61">
            <v>1.6666666666666667</v>
          </cell>
        </row>
        <row r="62">
          <cell r="A62">
            <v>338</v>
          </cell>
          <cell r="B62">
            <v>2</v>
          </cell>
          <cell r="C62">
            <v>525</v>
          </cell>
          <cell r="D62">
            <v>2</v>
          </cell>
          <cell r="E62">
            <v>279</v>
          </cell>
          <cell r="F62">
            <v>2</v>
          </cell>
        </row>
        <row r="63">
          <cell r="A63">
            <v>358</v>
          </cell>
          <cell r="B63">
            <v>1.6666666666666667</v>
          </cell>
          <cell r="C63">
            <v>473</v>
          </cell>
          <cell r="D63">
            <v>2</v>
          </cell>
          <cell r="E63">
            <v>299</v>
          </cell>
          <cell r="F63">
            <v>2</v>
          </cell>
        </row>
        <row r="64">
          <cell r="A64">
            <v>372</v>
          </cell>
          <cell r="B64">
            <v>1.6666666666666667</v>
          </cell>
          <cell r="C64">
            <v>471</v>
          </cell>
          <cell r="D64">
            <v>2</v>
          </cell>
          <cell r="E64">
            <v>264</v>
          </cell>
          <cell r="F64">
            <v>2</v>
          </cell>
        </row>
        <row r="65">
          <cell r="A65">
            <v>381</v>
          </cell>
          <cell r="B65">
            <v>2</v>
          </cell>
          <cell r="C65">
            <v>432</v>
          </cell>
          <cell r="D65">
            <v>2</v>
          </cell>
          <cell r="E65">
            <v>301</v>
          </cell>
          <cell r="F65">
            <v>1</v>
          </cell>
        </row>
        <row r="66">
          <cell r="A66">
            <v>383</v>
          </cell>
          <cell r="B66">
            <v>1.6666666666666667</v>
          </cell>
          <cell r="C66">
            <v>219</v>
          </cell>
          <cell r="D66">
            <v>0</v>
          </cell>
          <cell r="E66">
            <v>338</v>
          </cell>
          <cell r="F66">
            <v>1.3333333333333333</v>
          </cell>
        </row>
        <row r="67">
          <cell r="A67">
            <v>219</v>
          </cell>
          <cell r="B67">
            <v>2</v>
          </cell>
          <cell r="C67">
            <v>243</v>
          </cell>
          <cell r="D67">
            <v>0</v>
          </cell>
          <cell r="E67">
            <v>260</v>
          </cell>
          <cell r="F67">
            <v>1.6666666666666667</v>
          </cell>
        </row>
        <row r="68">
          <cell r="A68">
            <v>368</v>
          </cell>
          <cell r="B68">
            <v>2</v>
          </cell>
          <cell r="C68">
            <v>297</v>
          </cell>
          <cell r="D68">
            <v>0</v>
          </cell>
          <cell r="E68">
            <v>400</v>
          </cell>
          <cell r="F68">
            <v>2</v>
          </cell>
        </row>
        <row r="69">
          <cell r="A69">
            <v>233</v>
          </cell>
          <cell r="B69">
            <v>0.75</v>
          </cell>
          <cell r="C69">
            <v>245</v>
          </cell>
          <cell r="D69">
            <v>0</v>
          </cell>
          <cell r="E69">
            <v>458</v>
          </cell>
          <cell r="F69">
            <v>2</v>
          </cell>
        </row>
        <row r="70">
          <cell r="A70">
            <v>152</v>
          </cell>
          <cell r="B70">
            <v>1</v>
          </cell>
          <cell r="C70">
            <v>504</v>
          </cell>
          <cell r="D70">
            <v>2</v>
          </cell>
          <cell r="E70">
            <v>488</v>
          </cell>
          <cell r="F70">
            <v>2</v>
          </cell>
        </row>
        <row r="71">
          <cell r="A71">
            <v>178</v>
          </cell>
          <cell r="B71">
            <v>1</v>
          </cell>
          <cell r="C71">
            <v>488</v>
          </cell>
          <cell r="D71">
            <v>2</v>
          </cell>
          <cell r="E71">
            <v>540</v>
          </cell>
          <cell r="F71">
            <v>2</v>
          </cell>
        </row>
        <row r="72">
          <cell r="A72">
            <v>150</v>
          </cell>
          <cell r="B72">
            <v>0.75</v>
          </cell>
          <cell r="C72">
            <v>326</v>
          </cell>
          <cell r="D72">
            <v>0.75</v>
          </cell>
          <cell r="E72">
            <v>509</v>
          </cell>
          <cell r="F72">
            <v>2</v>
          </cell>
        </row>
        <row r="73">
          <cell r="A73">
            <v>227</v>
          </cell>
          <cell r="B73">
            <v>1</v>
          </cell>
          <cell r="C73">
            <v>351</v>
          </cell>
          <cell r="D73">
            <v>1.25</v>
          </cell>
          <cell r="E73">
            <v>511</v>
          </cell>
          <cell r="F73">
            <v>2</v>
          </cell>
        </row>
        <row r="74">
          <cell r="A74">
            <v>189</v>
          </cell>
          <cell r="B74">
            <v>1</v>
          </cell>
          <cell r="C74">
            <v>368</v>
          </cell>
          <cell r="D74">
            <v>1</v>
          </cell>
          <cell r="E74">
            <v>521</v>
          </cell>
          <cell r="F74">
            <v>1.6666666666666667</v>
          </cell>
        </row>
        <row r="75">
          <cell r="A75">
            <v>145</v>
          </cell>
          <cell r="B75">
            <v>1</v>
          </cell>
          <cell r="C75">
            <v>298</v>
          </cell>
          <cell r="D75">
            <v>1.25</v>
          </cell>
          <cell r="E75">
            <v>548</v>
          </cell>
          <cell r="F75">
            <v>2</v>
          </cell>
        </row>
        <row r="76">
          <cell r="A76">
            <v>186</v>
          </cell>
          <cell r="B76">
            <v>1.75</v>
          </cell>
          <cell r="C76">
            <v>269</v>
          </cell>
          <cell r="D76">
            <v>1</v>
          </cell>
          <cell r="E76">
            <v>337</v>
          </cell>
          <cell r="F76">
            <v>0.75</v>
          </cell>
        </row>
        <row r="77">
          <cell r="A77">
            <v>186</v>
          </cell>
          <cell r="B77">
            <v>1</v>
          </cell>
          <cell r="C77">
            <v>270</v>
          </cell>
          <cell r="D77">
            <v>1</v>
          </cell>
          <cell r="E77">
            <v>320</v>
          </cell>
          <cell r="F77">
            <v>1.25</v>
          </cell>
        </row>
        <row r="78">
          <cell r="A78">
            <v>205</v>
          </cell>
          <cell r="B78">
            <v>1</v>
          </cell>
          <cell r="C78">
            <v>338</v>
          </cell>
          <cell r="D78">
            <v>1</v>
          </cell>
          <cell r="E78">
            <v>257</v>
          </cell>
          <cell r="F78">
            <v>1</v>
          </cell>
        </row>
        <row r="79">
          <cell r="A79">
            <v>226</v>
          </cell>
          <cell r="B79">
            <v>1.25</v>
          </cell>
          <cell r="C79">
            <v>292</v>
          </cell>
          <cell r="D79">
            <v>1</v>
          </cell>
          <cell r="E79">
            <v>324</v>
          </cell>
          <cell r="F79">
            <v>1.25</v>
          </cell>
        </row>
        <row r="80">
          <cell r="A80">
            <v>162</v>
          </cell>
          <cell r="B80">
            <v>1</v>
          </cell>
          <cell r="C80">
            <v>254</v>
          </cell>
          <cell r="D80">
            <v>1</v>
          </cell>
          <cell r="E80">
            <v>338</v>
          </cell>
          <cell r="F80">
            <v>1</v>
          </cell>
        </row>
        <row r="81">
          <cell r="A81">
            <v>209</v>
          </cell>
          <cell r="B81">
            <v>0.75</v>
          </cell>
          <cell r="C81">
            <v>355</v>
          </cell>
          <cell r="D81">
            <v>1</v>
          </cell>
          <cell r="E81">
            <v>294</v>
          </cell>
          <cell r="F81">
            <v>1</v>
          </cell>
        </row>
        <row r="82">
          <cell r="A82">
            <v>199</v>
          </cell>
          <cell r="B82">
            <v>0.75</v>
          </cell>
          <cell r="C82">
            <v>274</v>
          </cell>
          <cell r="D82">
            <v>1.25</v>
          </cell>
          <cell r="E82">
            <v>258</v>
          </cell>
          <cell r="F82">
            <v>1</v>
          </cell>
        </row>
        <row r="83">
          <cell r="A83">
            <v>192</v>
          </cell>
          <cell r="B83">
            <v>0.75</v>
          </cell>
          <cell r="C83">
            <v>349</v>
          </cell>
          <cell r="D83">
            <v>1.25</v>
          </cell>
          <cell r="E83">
            <v>355</v>
          </cell>
          <cell r="F83">
            <v>1</v>
          </cell>
        </row>
        <row r="84">
          <cell r="A84">
            <v>167</v>
          </cell>
          <cell r="B84">
            <v>0.75</v>
          </cell>
          <cell r="C84">
            <v>289</v>
          </cell>
          <cell r="D84">
            <v>1</v>
          </cell>
          <cell r="E84">
            <v>328</v>
          </cell>
          <cell r="F84">
            <v>1</v>
          </cell>
        </row>
        <row r="85">
          <cell r="A85">
            <v>222</v>
          </cell>
          <cell r="B85">
            <v>0.75</v>
          </cell>
          <cell r="C85">
            <v>284</v>
          </cell>
          <cell r="D85">
            <v>1</v>
          </cell>
          <cell r="E85">
            <v>283</v>
          </cell>
          <cell r="F85">
            <v>1</v>
          </cell>
        </row>
        <row r="86">
          <cell r="A86">
            <v>172</v>
          </cell>
          <cell r="B86">
            <v>1.25</v>
          </cell>
          <cell r="C86">
            <v>347</v>
          </cell>
          <cell r="D86">
            <v>1</v>
          </cell>
          <cell r="E86">
            <v>299</v>
          </cell>
          <cell r="F86">
            <v>1.25</v>
          </cell>
        </row>
        <row r="87">
          <cell r="A87">
            <v>230</v>
          </cell>
          <cell r="B87">
            <v>1</v>
          </cell>
          <cell r="C87">
            <v>365</v>
          </cell>
          <cell r="D87">
            <v>1</v>
          </cell>
          <cell r="E87">
            <v>299</v>
          </cell>
          <cell r="F87">
            <v>1.25</v>
          </cell>
        </row>
        <row r="88">
          <cell r="A88">
            <v>182</v>
          </cell>
          <cell r="B88">
            <v>1</v>
          </cell>
          <cell r="C88">
            <v>330</v>
          </cell>
          <cell r="D88">
            <v>1</v>
          </cell>
          <cell r="E88">
            <v>290</v>
          </cell>
          <cell r="F88">
            <v>1</v>
          </cell>
        </row>
        <row r="89">
          <cell r="A89">
            <v>151</v>
          </cell>
          <cell r="B89">
            <v>1</v>
          </cell>
          <cell r="C89">
            <v>338</v>
          </cell>
          <cell r="D89">
            <v>1.25</v>
          </cell>
          <cell r="E89">
            <v>284</v>
          </cell>
          <cell r="F89">
            <v>1.75</v>
          </cell>
        </row>
        <row r="90">
          <cell r="A90">
            <v>737</v>
          </cell>
          <cell r="B90">
            <v>2</v>
          </cell>
          <cell r="C90">
            <v>360</v>
          </cell>
          <cell r="D90">
            <v>1</v>
          </cell>
          <cell r="E90">
            <v>364</v>
          </cell>
          <cell r="F90">
            <v>1</v>
          </cell>
        </row>
        <row r="91">
          <cell r="A91">
            <v>432</v>
          </cell>
          <cell r="B91">
            <v>1</v>
          </cell>
          <cell r="C91">
            <v>248</v>
          </cell>
          <cell r="D91">
            <v>1</v>
          </cell>
          <cell r="E91">
            <v>267</v>
          </cell>
          <cell r="F91">
            <v>1</v>
          </cell>
        </row>
        <row r="92">
          <cell r="A92">
            <v>820</v>
          </cell>
          <cell r="B92">
            <v>2</v>
          </cell>
          <cell r="C92">
            <v>350</v>
          </cell>
          <cell r="D92">
            <v>1</v>
          </cell>
          <cell r="E92">
            <v>319</v>
          </cell>
          <cell r="F92">
            <v>1</v>
          </cell>
        </row>
        <row r="93">
          <cell r="A93">
            <v>903</v>
          </cell>
          <cell r="B93">
            <v>1.75</v>
          </cell>
          <cell r="C93">
            <v>387</v>
          </cell>
          <cell r="D93">
            <v>1</v>
          </cell>
          <cell r="E93">
            <v>294</v>
          </cell>
          <cell r="F93">
            <v>1.25</v>
          </cell>
        </row>
        <row r="94">
          <cell r="A94">
            <v>795</v>
          </cell>
          <cell r="B94">
            <v>1.75</v>
          </cell>
          <cell r="C94">
            <v>169</v>
          </cell>
          <cell r="D94">
            <v>0</v>
          </cell>
          <cell r="E94">
            <v>263</v>
          </cell>
          <cell r="F94">
            <v>1</v>
          </cell>
        </row>
        <row r="95">
          <cell r="A95">
            <v>24</v>
          </cell>
          <cell r="B95">
            <v>0</v>
          </cell>
          <cell r="C95">
            <v>914</v>
          </cell>
          <cell r="D95">
            <v>2</v>
          </cell>
          <cell r="E95">
            <v>331</v>
          </cell>
          <cell r="F95">
            <v>1</v>
          </cell>
        </row>
        <row r="96">
          <cell r="A96">
            <v>711</v>
          </cell>
          <cell r="B96">
            <v>2</v>
          </cell>
          <cell r="C96">
            <v>447</v>
          </cell>
          <cell r="D96">
            <v>1.25</v>
          </cell>
          <cell r="E96">
            <v>303</v>
          </cell>
          <cell r="F96">
            <v>2</v>
          </cell>
        </row>
        <row r="97">
          <cell r="A97">
            <v>681</v>
          </cell>
          <cell r="B97">
            <v>2</v>
          </cell>
          <cell r="C97">
            <v>502</v>
          </cell>
          <cell r="D97">
            <v>1.25</v>
          </cell>
          <cell r="E97">
            <v>318</v>
          </cell>
          <cell r="F97">
            <v>0</v>
          </cell>
        </row>
        <row r="98">
          <cell r="A98">
            <v>805</v>
          </cell>
          <cell r="B98">
            <v>2</v>
          </cell>
          <cell r="C98">
            <v>24</v>
          </cell>
          <cell r="D98">
            <v>0</v>
          </cell>
          <cell r="E98">
            <v>814</v>
          </cell>
          <cell r="F98">
            <v>2</v>
          </cell>
        </row>
        <row r="99">
          <cell r="A99">
            <v>251</v>
          </cell>
          <cell r="B99">
            <v>0.75</v>
          </cell>
          <cell r="C99">
            <v>870</v>
          </cell>
          <cell r="D99">
            <v>2</v>
          </cell>
          <cell r="E99">
            <v>759</v>
          </cell>
          <cell r="F99">
            <v>2</v>
          </cell>
        </row>
        <row r="100">
          <cell r="A100">
            <v>423</v>
          </cell>
          <cell r="B100">
            <v>1.25</v>
          </cell>
          <cell r="C100">
            <v>818</v>
          </cell>
          <cell r="D100">
            <v>1.75</v>
          </cell>
          <cell r="E100">
            <v>460</v>
          </cell>
          <cell r="F100">
            <v>1.25</v>
          </cell>
        </row>
        <row r="101">
          <cell r="A101">
            <v>461</v>
          </cell>
          <cell r="B101">
            <v>1.25</v>
          </cell>
          <cell r="C101">
            <v>779</v>
          </cell>
          <cell r="D101">
            <v>2</v>
          </cell>
          <cell r="E101">
            <v>494</v>
          </cell>
          <cell r="F101">
            <v>1.25</v>
          </cell>
        </row>
        <row r="102">
          <cell r="A102">
            <v>750</v>
          </cell>
          <cell r="B102">
            <v>2</v>
          </cell>
          <cell r="C102">
            <v>344</v>
          </cell>
          <cell r="D102">
            <v>0.75</v>
          </cell>
          <cell r="E102">
            <v>331</v>
          </cell>
          <cell r="F102">
            <v>1</v>
          </cell>
        </row>
        <row r="103">
          <cell r="A103">
            <v>754</v>
          </cell>
          <cell r="B103">
            <v>2</v>
          </cell>
          <cell r="C103">
            <v>459</v>
          </cell>
          <cell r="D103">
            <v>1.25</v>
          </cell>
          <cell r="E103">
            <v>680</v>
          </cell>
          <cell r="F103">
            <v>2</v>
          </cell>
        </row>
        <row r="104">
          <cell r="A104">
            <v>640</v>
          </cell>
          <cell r="B104">
            <v>2</v>
          </cell>
          <cell r="C104">
            <v>375</v>
          </cell>
          <cell r="D104">
            <v>1.25</v>
          </cell>
          <cell r="E104">
            <v>923</v>
          </cell>
          <cell r="F104">
            <v>2</v>
          </cell>
        </row>
        <row r="105">
          <cell r="A105">
            <v>840</v>
          </cell>
          <cell r="B105">
            <v>2</v>
          </cell>
          <cell r="C105">
            <v>362</v>
          </cell>
          <cell r="D105">
            <v>1</v>
          </cell>
          <cell r="E105">
            <v>773</v>
          </cell>
          <cell r="F105">
            <v>2</v>
          </cell>
        </row>
        <row r="106">
          <cell r="A106">
            <v>806</v>
          </cell>
          <cell r="B106">
            <v>1.75</v>
          </cell>
          <cell r="C106">
            <v>871</v>
          </cell>
          <cell r="D106">
            <v>2</v>
          </cell>
          <cell r="E106">
            <v>249</v>
          </cell>
          <cell r="F106">
            <v>1</v>
          </cell>
        </row>
        <row r="107">
          <cell r="A107">
            <v>926</v>
          </cell>
          <cell r="B107">
            <v>2</v>
          </cell>
          <cell r="C107">
            <v>394</v>
          </cell>
          <cell r="D107">
            <v>1</v>
          </cell>
          <cell r="E107">
            <v>428</v>
          </cell>
          <cell r="F107">
            <v>1.25</v>
          </cell>
        </row>
        <row r="108">
          <cell r="A108">
            <v>747</v>
          </cell>
          <cell r="B108">
            <v>2</v>
          </cell>
          <cell r="C108">
            <v>703</v>
          </cell>
          <cell r="D108">
            <v>2</v>
          </cell>
          <cell r="E108">
            <v>485</v>
          </cell>
          <cell r="F108">
            <v>1.25</v>
          </cell>
        </row>
        <row r="109">
          <cell r="A109">
            <v>756</v>
          </cell>
          <cell r="B109">
            <v>1.75</v>
          </cell>
          <cell r="C109">
            <v>861</v>
          </cell>
          <cell r="D109">
            <v>1.75</v>
          </cell>
          <cell r="E109">
            <v>420</v>
          </cell>
          <cell r="F109">
            <v>1</v>
          </cell>
        </row>
        <row r="110">
          <cell r="A110">
            <v>752</v>
          </cell>
          <cell r="B110">
            <v>2</v>
          </cell>
          <cell r="C110">
            <v>341</v>
          </cell>
          <cell r="D110">
            <v>0.75</v>
          </cell>
          <cell r="E110">
            <v>855</v>
          </cell>
          <cell r="F110">
            <v>2</v>
          </cell>
        </row>
        <row r="111">
          <cell r="A111">
            <v>438</v>
          </cell>
          <cell r="B111">
            <v>1</v>
          </cell>
          <cell r="C111">
            <v>940</v>
          </cell>
          <cell r="D111">
            <v>2</v>
          </cell>
          <cell r="E111">
            <v>798</v>
          </cell>
          <cell r="F111">
            <v>2</v>
          </cell>
        </row>
        <row r="112">
          <cell r="A112">
            <v>764</v>
          </cell>
          <cell r="B112">
            <v>2</v>
          </cell>
          <cell r="C112">
            <v>800</v>
          </cell>
          <cell r="D112">
            <v>1.5</v>
          </cell>
          <cell r="E112">
            <v>860</v>
          </cell>
          <cell r="F112">
            <v>2</v>
          </cell>
        </row>
        <row r="113">
          <cell r="A113">
            <v>415</v>
          </cell>
          <cell r="B113">
            <v>1</v>
          </cell>
          <cell r="C113">
            <v>727</v>
          </cell>
          <cell r="D113">
            <v>2</v>
          </cell>
          <cell r="E113">
            <v>843</v>
          </cell>
          <cell r="F113">
            <v>2</v>
          </cell>
        </row>
        <row r="114">
          <cell r="A114">
            <v>440</v>
          </cell>
          <cell r="B114">
            <v>1.25</v>
          </cell>
          <cell r="C114">
            <v>449</v>
          </cell>
          <cell r="D114">
            <v>1</v>
          </cell>
          <cell r="E114">
            <v>375</v>
          </cell>
          <cell r="F114">
            <v>1</v>
          </cell>
        </row>
        <row r="115">
          <cell r="A115">
            <v>422</v>
          </cell>
          <cell r="B115">
            <v>1.25</v>
          </cell>
          <cell r="C115">
            <v>944</v>
          </cell>
          <cell r="D115">
            <v>2</v>
          </cell>
          <cell r="E115">
            <v>886</v>
          </cell>
          <cell r="F115">
            <v>2</v>
          </cell>
        </row>
        <row r="116">
          <cell r="A116">
            <v>848</v>
          </cell>
          <cell r="B116">
            <v>1.75</v>
          </cell>
          <cell r="C116">
            <v>496</v>
          </cell>
          <cell r="D116">
            <v>1</v>
          </cell>
          <cell r="E116">
            <v>660</v>
          </cell>
          <cell r="F116">
            <v>2</v>
          </cell>
        </row>
        <row r="117">
          <cell r="A117">
            <v>731</v>
          </cell>
          <cell r="B117">
            <v>2</v>
          </cell>
          <cell r="C117">
            <v>470</v>
          </cell>
          <cell r="D117">
            <v>1.25</v>
          </cell>
          <cell r="E117">
            <v>796</v>
          </cell>
          <cell r="F117">
            <v>2</v>
          </cell>
        </row>
        <row r="118">
          <cell r="A118">
            <v>840</v>
          </cell>
          <cell r="B118">
            <v>2</v>
          </cell>
          <cell r="C118">
            <v>481</v>
          </cell>
          <cell r="D118">
            <v>1.25</v>
          </cell>
          <cell r="E118">
            <v>868</v>
          </cell>
          <cell r="F118">
            <v>2</v>
          </cell>
        </row>
        <row r="119">
          <cell r="A119">
            <v>681</v>
          </cell>
          <cell r="B119">
            <v>1.75</v>
          </cell>
          <cell r="C119">
            <v>548</v>
          </cell>
          <cell r="D119">
            <v>1.25</v>
          </cell>
          <cell r="E119">
            <v>1025</v>
          </cell>
          <cell r="F119">
            <v>2</v>
          </cell>
        </row>
        <row r="120">
          <cell r="A120">
            <v>859</v>
          </cell>
          <cell r="B120">
            <v>2</v>
          </cell>
          <cell r="C120">
            <v>578</v>
          </cell>
          <cell r="D120">
            <v>2</v>
          </cell>
          <cell r="E120">
            <v>486</v>
          </cell>
          <cell r="F120">
            <v>1</v>
          </cell>
        </row>
        <row r="121">
          <cell r="A121">
            <v>399</v>
          </cell>
          <cell r="B121">
            <v>1.25</v>
          </cell>
          <cell r="C121">
            <v>844</v>
          </cell>
          <cell r="D121">
            <v>2</v>
          </cell>
          <cell r="E121">
            <v>358</v>
          </cell>
          <cell r="F121">
            <v>1.25</v>
          </cell>
        </row>
        <row r="122">
          <cell r="A122">
            <v>805</v>
          </cell>
          <cell r="B122">
            <v>2</v>
          </cell>
          <cell r="C122">
            <v>878</v>
          </cell>
          <cell r="D122">
            <v>1.75</v>
          </cell>
          <cell r="E122">
            <v>475</v>
          </cell>
          <cell r="F122">
            <v>1.25</v>
          </cell>
        </row>
        <row r="123">
          <cell r="A123">
            <v>767</v>
          </cell>
          <cell r="B123">
            <v>1.5</v>
          </cell>
          <cell r="C123">
            <v>836</v>
          </cell>
          <cell r="D123">
            <v>2</v>
          </cell>
          <cell r="E123">
            <v>423</v>
          </cell>
          <cell r="F123">
            <v>1.25</v>
          </cell>
        </row>
        <row r="124">
          <cell r="A124">
            <v>794</v>
          </cell>
          <cell r="B124">
            <v>2</v>
          </cell>
          <cell r="C124">
            <v>528</v>
          </cell>
          <cell r="D124">
            <v>1.25</v>
          </cell>
          <cell r="E124">
            <v>976</v>
          </cell>
          <cell r="F124">
            <v>1.75</v>
          </cell>
        </row>
        <row r="125">
          <cell r="A125">
            <v>707</v>
          </cell>
          <cell r="B125">
            <v>1.75</v>
          </cell>
          <cell r="C125">
            <v>341</v>
          </cell>
          <cell r="D125">
            <v>1</v>
          </cell>
          <cell r="E125">
            <v>851</v>
          </cell>
          <cell r="F125">
            <v>2</v>
          </cell>
        </row>
        <row r="126">
          <cell r="A126">
            <v>535</v>
          </cell>
          <cell r="B126">
            <v>1.25</v>
          </cell>
          <cell r="C126">
            <v>399</v>
          </cell>
          <cell r="D126">
            <v>1.25</v>
          </cell>
          <cell r="E126">
            <v>849</v>
          </cell>
          <cell r="F126">
            <v>1.75</v>
          </cell>
        </row>
        <row r="127">
          <cell r="A127">
            <v>174</v>
          </cell>
          <cell r="B127">
            <v>0.75</v>
          </cell>
          <cell r="C127">
            <v>972</v>
          </cell>
          <cell r="D127">
            <v>2</v>
          </cell>
          <cell r="E127">
            <v>825</v>
          </cell>
          <cell r="F127">
            <v>2</v>
          </cell>
        </row>
        <row r="128">
          <cell r="A128">
            <v>680</v>
          </cell>
          <cell r="B128">
            <v>2</v>
          </cell>
          <cell r="C128">
            <v>750</v>
          </cell>
          <cell r="D128">
            <v>1.75</v>
          </cell>
          <cell r="E128">
            <v>520</v>
          </cell>
          <cell r="F128">
            <v>1.25</v>
          </cell>
        </row>
        <row r="129">
          <cell r="A129">
            <v>410</v>
          </cell>
          <cell r="B129">
            <v>1.25</v>
          </cell>
          <cell r="C129">
            <v>605</v>
          </cell>
          <cell r="D129">
            <v>1.25</v>
          </cell>
          <cell r="E129">
            <v>904</v>
          </cell>
          <cell r="F129">
            <v>2</v>
          </cell>
        </row>
        <row r="130">
          <cell r="A130">
            <v>746</v>
          </cell>
          <cell r="B130">
            <v>1.75</v>
          </cell>
          <cell r="C130">
            <v>408</v>
          </cell>
          <cell r="D130">
            <v>1.25</v>
          </cell>
          <cell r="E130">
            <v>484</v>
          </cell>
          <cell r="F130">
            <v>1.25</v>
          </cell>
        </row>
        <row r="131">
          <cell r="A131">
            <v>793</v>
          </cell>
          <cell r="B131">
            <v>1.75</v>
          </cell>
          <cell r="C131">
            <v>784</v>
          </cell>
          <cell r="D131">
            <v>2</v>
          </cell>
          <cell r="E131">
            <v>739</v>
          </cell>
          <cell r="F131">
            <v>2</v>
          </cell>
        </row>
        <row r="132">
          <cell r="A132">
            <v>711</v>
          </cell>
          <cell r="B132">
            <v>1.75</v>
          </cell>
          <cell r="C132">
            <v>464</v>
          </cell>
          <cell r="D132">
            <v>1.25</v>
          </cell>
          <cell r="E132">
            <v>799</v>
          </cell>
          <cell r="F132">
            <v>1.75</v>
          </cell>
        </row>
        <row r="133">
          <cell r="A133">
            <v>477</v>
          </cell>
          <cell r="B133">
            <v>1</v>
          </cell>
          <cell r="C133">
            <v>24</v>
          </cell>
          <cell r="D133">
            <v>0</v>
          </cell>
          <cell r="E133">
            <v>524</v>
          </cell>
          <cell r="F133">
            <v>1.25</v>
          </cell>
        </row>
        <row r="134">
          <cell r="A134">
            <v>223</v>
          </cell>
          <cell r="B134">
            <v>1</v>
          </cell>
          <cell r="C134">
            <v>472</v>
          </cell>
          <cell r="D134">
            <v>1.25</v>
          </cell>
          <cell r="E134">
            <v>401</v>
          </cell>
          <cell r="F134">
            <v>1.25</v>
          </cell>
        </row>
        <row r="135">
          <cell r="A135">
            <v>753</v>
          </cell>
          <cell r="B135">
            <v>1.75</v>
          </cell>
          <cell r="C135">
            <v>24</v>
          </cell>
          <cell r="D135">
            <v>0</v>
          </cell>
          <cell r="E135">
            <v>781</v>
          </cell>
          <cell r="F135">
            <v>2</v>
          </cell>
        </row>
        <row r="136">
          <cell r="A136">
            <v>172</v>
          </cell>
          <cell r="B136">
            <v>1</v>
          </cell>
          <cell r="C136">
            <v>496</v>
          </cell>
          <cell r="D136">
            <v>1</v>
          </cell>
          <cell r="E136">
            <v>506</v>
          </cell>
          <cell r="F136">
            <v>1.25</v>
          </cell>
        </row>
        <row r="137">
          <cell r="A137">
            <v>468</v>
          </cell>
          <cell r="B137">
            <v>1.25</v>
          </cell>
          <cell r="C137">
            <v>359</v>
          </cell>
          <cell r="D137">
            <v>1.25</v>
          </cell>
          <cell r="E137">
            <v>320</v>
          </cell>
          <cell r="F137">
            <v>1.25</v>
          </cell>
        </row>
        <row r="138">
          <cell r="A138">
            <v>775</v>
          </cell>
          <cell r="B138">
            <v>2</v>
          </cell>
          <cell r="C138">
            <v>448</v>
          </cell>
          <cell r="D138">
            <v>1.25</v>
          </cell>
          <cell r="E138">
            <v>486</v>
          </cell>
          <cell r="F138">
            <v>2</v>
          </cell>
        </row>
        <row r="139">
          <cell r="A139">
            <v>689</v>
          </cell>
          <cell r="B139">
            <v>2</v>
          </cell>
          <cell r="C139">
            <v>24</v>
          </cell>
          <cell r="D139">
            <v>0</v>
          </cell>
          <cell r="E139">
            <v>399</v>
          </cell>
          <cell r="F139">
            <v>1.25</v>
          </cell>
        </row>
        <row r="140">
          <cell r="A140">
            <v>197</v>
          </cell>
          <cell r="B140">
            <v>0.25</v>
          </cell>
          <cell r="C140">
            <v>386</v>
          </cell>
          <cell r="D140">
            <v>1.25</v>
          </cell>
          <cell r="E140">
            <v>831</v>
          </cell>
          <cell r="F140">
            <v>2</v>
          </cell>
        </row>
        <row r="141">
          <cell r="A141">
            <v>717</v>
          </cell>
          <cell r="B141">
            <v>2</v>
          </cell>
          <cell r="C141">
            <v>368</v>
          </cell>
          <cell r="D141">
            <v>1</v>
          </cell>
          <cell r="E141">
            <v>491</v>
          </cell>
          <cell r="F141">
            <v>1.25</v>
          </cell>
        </row>
        <row r="142">
          <cell r="A142">
            <v>795</v>
          </cell>
          <cell r="B142">
            <v>2</v>
          </cell>
          <cell r="C142">
            <v>472</v>
          </cell>
          <cell r="D142">
            <v>1</v>
          </cell>
          <cell r="E142">
            <v>508</v>
          </cell>
          <cell r="F142">
            <v>1.25</v>
          </cell>
        </row>
        <row r="143">
          <cell r="A143">
            <v>198</v>
          </cell>
          <cell r="B143">
            <v>1</v>
          </cell>
          <cell r="C143">
            <v>422</v>
          </cell>
          <cell r="D143">
            <v>1.25</v>
          </cell>
          <cell r="E143">
            <v>862</v>
          </cell>
          <cell r="F143">
            <v>2</v>
          </cell>
        </row>
        <row r="144">
          <cell r="A144">
            <v>587</v>
          </cell>
          <cell r="B144">
            <v>2</v>
          </cell>
          <cell r="C144">
            <v>338</v>
          </cell>
          <cell r="D144">
            <v>1</v>
          </cell>
          <cell r="E144">
            <v>434</v>
          </cell>
          <cell r="F144">
            <v>1.25</v>
          </cell>
        </row>
        <row r="145">
          <cell r="A145">
            <v>485</v>
          </cell>
          <cell r="B145">
            <v>1.25</v>
          </cell>
          <cell r="C145">
            <v>421</v>
          </cell>
          <cell r="D145">
            <v>1</v>
          </cell>
          <cell r="E145">
            <v>441</v>
          </cell>
          <cell r="F145">
            <v>1</v>
          </cell>
        </row>
        <row r="146">
          <cell r="A146">
            <v>465</v>
          </cell>
          <cell r="B146">
            <v>1.25</v>
          </cell>
          <cell r="C146">
            <v>24</v>
          </cell>
          <cell r="D146">
            <v>0</v>
          </cell>
          <cell r="E146">
            <v>423</v>
          </cell>
          <cell r="F146">
            <v>1</v>
          </cell>
        </row>
        <row r="147">
          <cell r="A147">
            <v>798</v>
          </cell>
          <cell r="B147">
            <v>2</v>
          </cell>
          <cell r="C147">
            <v>444</v>
          </cell>
          <cell r="D147">
            <v>1</v>
          </cell>
          <cell r="E147">
            <v>525</v>
          </cell>
          <cell r="F147">
            <v>1.25</v>
          </cell>
        </row>
        <row r="148">
          <cell r="A148">
            <v>741</v>
          </cell>
          <cell r="B148">
            <v>1.75</v>
          </cell>
          <cell r="C148">
            <v>388</v>
          </cell>
          <cell r="D148">
            <v>1.25</v>
          </cell>
          <cell r="E148">
            <v>458</v>
          </cell>
          <cell r="F148">
            <v>1</v>
          </cell>
        </row>
        <row r="149">
          <cell r="A149">
            <v>449</v>
          </cell>
          <cell r="B149">
            <v>1.25</v>
          </cell>
          <cell r="C149">
            <v>826</v>
          </cell>
          <cell r="D149">
            <v>1.75</v>
          </cell>
          <cell r="E149">
            <v>407</v>
          </cell>
          <cell r="F149">
            <v>1</v>
          </cell>
        </row>
        <row r="150">
          <cell r="A150">
            <v>411</v>
          </cell>
          <cell r="B150">
            <v>1.25</v>
          </cell>
          <cell r="C150">
            <v>967</v>
          </cell>
          <cell r="D150">
            <v>2</v>
          </cell>
          <cell r="E150">
            <v>285</v>
          </cell>
          <cell r="F150">
            <v>1</v>
          </cell>
        </row>
        <row r="151">
          <cell r="A151">
            <v>472</v>
          </cell>
          <cell r="B151">
            <v>1</v>
          </cell>
          <cell r="C151">
            <v>852</v>
          </cell>
          <cell r="D151">
            <v>1.75</v>
          </cell>
          <cell r="E151">
            <v>451</v>
          </cell>
          <cell r="F151">
            <v>1</v>
          </cell>
        </row>
        <row r="152">
          <cell r="A152">
            <v>492</v>
          </cell>
          <cell r="B152">
            <v>1.25</v>
          </cell>
          <cell r="C152">
            <v>553</v>
          </cell>
          <cell r="D152">
            <v>1.25</v>
          </cell>
          <cell r="E152">
            <v>465</v>
          </cell>
          <cell r="F152">
            <v>1.25</v>
          </cell>
        </row>
        <row r="153">
          <cell r="A153">
            <v>676</v>
          </cell>
          <cell r="B153">
            <v>0</v>
          </cell>
          <cell r="C153">
            <v>971</v>
          </cell>
          <cell r="D153">
            <v>1.75</v>
          </cell>
          <cell r="E153">
            <v>507</v>
          </cell>
          <cell r="F153">
            <v>1.25</v>
          </cell>
        </row>
        <row r="154">
          <cell r="A154">
            <v>451</v>
          </cell>
          <cell r="B154">
            <v>2</v>
          </cell>
          <cell r="C154">
            <v>528</v>
          </cell>
          <cell r="D154">
            <v>1</v>
          </cell>
          <cell r="E154">
            <v>888</v>
          </cell>
          <cell r="F154">
            <v>2</v>
          </cell>
        </row>
        <row r="155">
          <cell r="A155">
            <v>587</v>
          </cell>
          <cell r="B155">
            <v>2</v>
          </cell>
          <cell r="C155">
            <v>454</v>
          </cell>
          <cell r="D155">
            <v>1.25</v>
          </cell>
          <cell r="E155">
            <v>806</v>
          </cell>
          <cell r="F155">
            <v>1.75</v>
          </cell>
        </row>
        <row r="156">
          <cell r="A156">
            <v>882</v>
          </cell>
          <cell r="B156">
            <v>2</v>
          </cell>
          <cell r="C156">
            <v>434</v>
          </cell>
          <cell r="D156">
            <v>2</v>
          </cell>
          <cell r="E156">
            <v>544</v>
          </cell>
          <cell r="F156">
            <v>1.25</v>
          </cell>
        </row>
        <row r="157">
          <cell r="A157">
            <v>768</v>
          </cell>
          <cell r="B157">
            <v>2</v>
          </cell>
          <cell r="C157">
            <v>508</v>
          </cell>
          <cell r="D157">
            <v>2</v>
          </cell>
          <cell r="E157">
            <v>437</v>
          </cell>
          <cell r="F157">
            <v>1.25</v>
          </cell>
        </row>
        <row r="158">
          <cell r="A158">
            <v>251</v>
          </cell>
          <cell r="B158">
            <v>1.5</v>
          </cell>
          <cell r="C158">
            <v>587</v>
          </cell>
          <cell r="D158">
            <v>2</v>
          </cell>
          <cell r="E158">
            <v>508</v>
          </cell>
          <cell r="F158">
            <v>1</v>
          </cell>
        </row>
        <row r="159">
          <cell r="A159">
            <v>283</v>
          </cell>
          <cell r="B159">
            <v>1.5</v>
          </cell>
          <cell r="C159">
            <v>761</v>
          </cell>
          <cell r="D159">
            <v>2</v>
          </cell>
          <cell r="E159">
            <v>444</v>
          </cell>
          <cell r="F159">
            <v>1.25</v>
          </cell>
        </row>
        <row r="160">
          <cell r="A160">
            <v>377</v>
          </cell>
          <cell r="B160">
            <v>1.5</v>
          </cell>
          <cell r="C160">
            <v>1003</v>
          </cell>
          <cell r="D160">
            <v>2</v>
          </cell>
          <cell r="E160">
            <v>481</v>
          </cell>
          <cell r="F160">
            <v>2</v>
          </cell>
        </row>
        <row r="161">
          <cell r="C161">
            <v>609</v>
          </cell>
          <cell r="D161">
            <v>1.5</v>
          </cell>
          <cell r="E161">
            <v>499</v>
          </cell>
          <cell r="F161">
            <v>2</v>
          </cell>
        </row>
        <row r="162">
          <cell r="C162">
            <v>636</v>
          </cell>
          <cell r="D162">
            <v>1.5</v>
          </cell>
          <cell r="E162">
            <v>450</v>
          </cell>
          <cell r="F162">
            <v>2</v>
          </cell>
        </row>
        <row r="163">
          <cell r="C163">
            <v>589</v>
          </cell>
          <cell r="D163">
            <v>1.5</v>
          </cell>
          <cell r="E163">
            <v>490</v>
          </cell>
          <cell r="F163">
            <v>1</v>
          </cell>
        </row>
        <row r="164">
          <cell r="E164">
            <v>992</v>
          </cell>
          <cell r="F164">
            <v>2</v>
          </cell>
        </row>
        <row r="165">
          <cell r="E165">
            <v>570</v>
          </cell>
          <cell r="F165">
            <v>2</v>
          </cell>
        </row>
        <row r="166">
          <cell r="E166">
            <v>707</v>
          </cell>
          <cell r="F166">
            <v>2</v>
          </cell>
        </row>
        <row r="167">
          <cell r="E167">
            <v>665</v>
          </cell>
          <cell r="F167">
            <v>2</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persons/person.xml><?xml version="1.0" encoding="utf-8"?>
<personList xmlns="http://schemas.microsoft.com/office/spreadsheetml/2018/threadedcomments" xmlns:x="http://schemas.openxmlformats.org/spreadsheetml/2006/main">
  <person displayName="Vanessa Figueiredo" id="{338FA12C-207B-C54F-91B4-96C3DEFB8148}" userId="S::vfv212@uregina.ca::68dd23e5-4c1c-45d1-953b-b675307678b4"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vfv212/Documents/_explorai/explorai-projects/projects/cogniconsole/cogniconsole.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Users/vfv212/Documents/_explorai/explorai-projects/projects/cogniconsole/cogniconsole.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5.667418518518" createdVersion="8" refreshedVersion="8" minRefreshableVersion="3" recordCount="487" xr:uid="{2354D15A-E433-494B-BEAE-52DB3A8D234A}">
  <cacheSource type="worksheet">
    <worksheetSource ref="A1:Z488" sheet="_raw_scoring" r:id="rId2"/>
  </cacheSource>
  <cacheFields count="26">
    <cacheField name="condition" numFmtId="0">
      <sharedItems containsSemiMixedTypes="0" containsString="0" containsNumber="1" containsInteger="1" minValue="1" maxValue="3" count="3">
        <n v="1"/>
        <n v="2"/>
        <n v="3"/>
      </sharedItems>
    </cacheField>
    <cacheField name="probe" numFmtId="0">
      <sharedItems count="5">
        <s v="P1"/>
        <s v="P2"/>
        <s v="P3"/>
        <s v="P4"/>
        <s v="P5"/>
      </sharedItems>
    </cacheField>
    <cacheField name="scenario_id" numFmtId="0">
      <sharedItems containsSemiMixedTypes="0" containsString="0" containsNumber="1" containsInteger="1" minValue="1" maxValue="11"/>
    </cacheField>
    <cacheField name="scenario_name" numFmtId="0">
      <sharedItems/>
    </cacheField>
    <cacheField name="scenario_description" numFmtId="0">
      <sharedItems/>
    </cacheField>
    <cacheField name="run" numFmtId="0">
      <sharedItems containsSemiMixedTypes="0" containsString="0" containsNumber="1" containsInteger="1" minValue="1" maxValue="4"/>
    </cacheField>
    <cacheField name="input" numFmtId="0">
      <sharedItems/>
    </cacheField>
    <cacheField name="output" numFmtId="0">
      <sharedItems longText="1"/>
    </cacheField>
    <cacheField name="criteria_used" numFmtId="0">
      <sharedItems/>
    </cacheField>
    <cacheField name="c1_task_relevance_quality" numFmtId="0">
      <sharedItems containsString="0" containsBlank="1" containsNumber="1" containsInteger="1" minValue="0" maxValue="2"/>
    </cacheField>
    <cacheField name="c2_terminological_consistency" numFmtId="0">
      <sharedItems containsString="0" containsBlank="1" containsNumber="1" containsInteger="1" minValue="0" maxValue="2"/>
    </cacheField>
    <cacheField name="c3_structural_coherence" numFmtId="0">
      <sharedItems containsString="0" containsBlank="1" containsNumber="1" containsInteger="1" minValue="0" maxValue="2"/>
    </cacheField>
    <cacheField name="c4_constraint_enforcement" numFmtId="0">
      <sharedItems containsString="0" containsBlank="1" containsNumber="1" containsInteger="1" minValue="0" maxValue="2"/>
    </cacheField>
    <cacheField name="c5_state_awareness" numFmtId="0">
      <sharedItems containsString="0" containsBlank="1" containsNumber="1" containsInteger="1" minValue="0" maxValue="2"/>
    </cacheField>
    <cacheField name="c6_warning_redirection_quality" numFmtId="0">
      <sharedItems containsString="0" containsBlank="1" containsNumber="1" containsInteger="1" minValue="0" maxValue="2"/>
    </cacheField>
    <cacheField name="C7_robustness_misspelling_noisy_input" numFmtId="0">
      <sharedItems containsString="0" containsBlank="1" containsNumber="1" containsInteger="1" minValue="0" maxValue="2"/>
    </cacheField>
    <cacheField name="c8_hallucinated_action_suppression" numFmtId="0">
      <sharedItems containsString="0" containsBlank="1" containsNumber="1" containsInteger="1" minValue="0" maxValue="2"/>
    </cacheField>
    <cacheField name="c9_out_of_boundary_recovery" numFmtId="0">
      <sharedItems containsString="0" containsBlank="1" containsNumber="1" containsInteger="1" minValue="1" maxValue="2"/>
    </cacheField>
    <cacheField name="c10_competing_constraint_resolution" numFmtId="0">
      <sharedItems containsString="0" containsBlank="1" containsNumber="1" containsInteger="1" minValue="1" maxValue="2"/>
    </cacheField>
    <cacheField name="C11_recovery_strategy_appropriateness" numFmtId="0">
      <sharedItems containsString="0" containsBlank="1" containsNumber="1" containsInteger="1" minValue="0" maxValue="2"/>
    </cacheField>
    <cacheField name="criteria_count" numFmtId="0">
      <sharedItems containsSemiMixedTypes="0" containsString="0" containsNumber="1" containsInteger="1" minValue="2" maxValue="5"/>
    </cacheField>
    <cacheField name="raw_points" numFmtId="0">
      <sharedItems containsSemiMixedTypes="0" containsString="0" containsNumber="1" containsInteger="1" minValue="0" maxValue="10"/>
    </cacheField>
    <cacheField name="avg_used_criteria" numFmtId="2">
      <sharedItems containsSemiMixedTypes="0" containsString="0" containsNumber="1" minValue="0" maxValue="2"/>
    </cacheField>
    <cacheField name="normalized_score" numFmtId="2">
      <sharedItems containsSemiMixedTypes="0" containsString="0" containsNumber="1" minValue="0" maxValue="100"/>
    </cacheField>
    <cacheField name="notes" numFmtId="0">
      <sharedItems containsBlank="1"/>
    </cacheField>
    <cacheField name="output_length_chars" numFmtId="0">
      <sharedItems containsSemiMixedTypes="0" containsString="0" containsNumber="1" containsInteger="1" minValue="24" maxValue="233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hor" refreshedDate="46115.718932986114" createdVersion="8" refreshedVersion="8" minRefreshableVersion="3" recordCount="487" xr:uid="{40E69BDE-AC30-0E45-978A-3C4D86BFE089}">
  <cacheSource type="worksheet">
    <worksheetSource ref="A1:AA488" sheet="_raw_scoring" r:id="rId2"/>
  </cacheSource>
  <cacheFields count="27">
    <cacheField name="condition" numFmtId="0">
      <sharedItems containsSemiMixedTypes="0" containsString="0" containsNumber="1" containsInteger="1" minValue="1" maxValue="3" count="3">
        <n v="1"/>
        <n v="2"/>
        <n v="3"/>
      </sharedItems>
    </cacheField>
    <cacheField name="probe" numFmtId="0">
      <sharedItems/>
    </cacheField>
    <cacheField name="scenario_id" numFmtId="0">
      <sharedItems containsSemiMixedTypes="0" containsString="0" containsNumber="1" containsInteger="1" minValue="1" maxValue="11"/>
    </cacheField>
    <cacheField name="scenario_name" numFmtId="0">
      <sharedItems/>
    </cacheField>
    <cacheField name="scenario_description" numFmtId="0">
      <sharedItems/>
    </cacheField>
    <cacheField name="run" numFmtId="0">
      <sharedItems containsSemiMixedTypes="0" containsString="0" containsNumber="1" containsInteger="1" minValue="1" maxValue="4"/>
    </cacheField>
    <cacheField name="input" numFmtId="0">
      <sharedItems/>
    </cacheField>
    <cacheField name="output" numFmtId="0">
      <sharedItems longText="1"/>
    </cacheField>
    <cacheField name="criteria_used" numFmtId="0">
      <sharedItems/>
    </cacheField>
    <cacheField name="c1_task_relevance_quality" numFmtId="0">
      <sharedItems containsString="0" containsBlank="1" containsNumber="1" containsInteger="1" minValue="0" maxValue="2"/>
    </cacheField>
    <cacheField name="c2_terminological_consistency" numFmtId="0">
      <sharedItems containsString="0" containsBlank="1" containsNumber="1" containsInteger="1" minValue="0" maxValue="2"/>
    </cacheField>
    <cacheField name="c3_structural_coherence" numFmtId="0">
      <sharedItems containsString="0" containsBlank="1" containsNumber="1" containsInteger="1" minValue="0" maxValue="2"/>
    </cacheField>
    <cacheField name="c4_constraint_enforcement" numFmtId="0">
      <sharedItems containsString="0" containsBlank="1" containsNumber="1" containsInteger="1" minValue="0" maxValue="2"/>
    </cacheField>
    <cacheField name="c5_state_awareness" numFmtId="0">
      <sharedItems containsString="0" containsBlank="1" containsNumber="1" containsInteger="1" minValue="0" maxValue="2"/>
    </cacheField>
    <cacheField name="c6_warning_redirection_quality" numFmtId="0">
      <sharedItems containsString="0" containsBlank="1" containsNumber="1" containsInteger="1" minValue="0" maxValue="2"/>
    </cacheField>
    <cacheField name="C7_robustness_misspelling_noisy_input" numFmtId="0">
      <sharedItems containsString="0" containsBlank="1" containsNumber="1" containsInteger="1" minValue="0" maxValue="2"/>
    </cacheField>
    <cacheField name="c8_hallucinated_action_suppression" numFmtId="0">
      <sharedItems containsString="0" containsBlank="1" containsNumber="1" containsInteger="1" minValue="0" maxValue="2"/>
    </cacheField>
    <cacheField name="c9_out_of_boundary_recovery" numFmtId="0">
      <sharedItems containsString="0" containsBlank="1" containsNumber="1" containsInteger="1" minValue="1" maxValue="2"/>
    </cacheField>
    <cacheField name="c10_competing_constraint_resolution" numFmtId="0">
      <sharedItems containsString="0" containsBlank="1" containsNumber="1" containsInteger="1" minValue="1" maxValue="2"/>
    </cacheField>
    <cacheField name="C11_recovery_strategy_appropriateness" numFmtId="0">
      <sharedItems containsString="0" containsBlank="1" containsNumber="1" containsInteger="1" minValue="0" maxValue="2"/>
    </cacheField>
    <cacheField name="criteria_count" numFmtId="0">
      <sharedItems containsSemiMixedTypes="0" containsString="0" containsNumber="1" containsInteger="1" minValue="2" maxValue="5"/>
    </cacheField>
    <cacheField name="raw_points" numFmtId="0">
      <sharedItems containsSemiMixedTypes="0" containsString="0" containsNumber="1" containsInteger="1" minValue="0" maxValue="10"/>
    </cacheField>
    <cacheField name="avg_used_criteria" numFmtId="2">
      <sharedItems containsSemiMixedTypes="0" containsString="0" containsNumber="1" minValue="0" maxValue="2"/>
    </cacheField>
    <cacheField name="normalized_score" numFmtId="2">
      <sharedItems containsSemiMixedTypes="0" containsString="0" containsNumber="1" minValue="0" maxValue="100"/>
    </cacheField>
    <cacheField name="notes" numFmtId="0">
      <sharedItems containsBlank="1"/>
    </cacheField>
    <cacheField name="output_length_chars" numFmtId="0">
      <sharedItems containsSemiMixedTypes="0" containsString="0" containsNumber="1" containsInteger="1" minValue="24" maxValue="2337"/>
    </cacheField>
    <cacheField name="is_failur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x v="0"/>
    <x v="0"/>
    <n v="1"/>
    <s v="full_game"/>
    <s v="Full game (expected input)"/>
    <n v="1"/>
    <s v="Visit Louvre"/>
    <s v="Narrator: As you step into the grand entrance of the Louvre Museum, the air is thick with anticipation and the faint scent of history. Your eyes are immediately drawn to an [egyptian exhibit poster] hanging on the wall, its vibrant colors a stark contrast to the surrounding chaos. Moving deeper into the heart of the museum, you notice a [gold-dusted vest] carelessly discarded near a display case, its shimmering flecks catching the dim light. A chill runs down your spine as you reach a balcony, where a single [balcony footprint] in the dust suggests a hasty escape. The trail leads you through a [renovation corridor], its temporary walls echoing with the whispers of secrets hidden within."/>
    <s v="c1, c2, c3"/>
    <n v="2"/>
    <n v="2"/>
    <n v="1"/>
    <m/>
    <m/>
    <m/>
    <m/>
    <m/>
    <m/>
    <m/>
    <m/>
    <n v="3"/>
    <n v="5"/>
    <n v="1.6666666666666667"/>
    <n v="83.333333333333343"/>
    <m/>
    <n v="695"/>
  </r>
  <r>
    <x v="1"/>
    <x v="0"/>
    <n v="1"/>
    <s v="full_game"/>
    <s v="Full game (expected input)"/>
    <n v="1"/>
    <s v="Visit Louvre"/>
    <s v="Narrator: As you step into the grand halls of the Louvre Museum, the echoes of the recent heist reverberate through the opulent corridors, each whispering secrets of the stolen crown jewels. Your eyes catch an [egyptian exhibit poster] hanging slightly askew, as if disturbed in haste, hinting at a possible escape route. The glint of a [gold-dusted vest] discarded in a shadowy corner suggests a hasty disguise change by one of the thieves. Moving deeper into the museum, you spot a [balcony footprint] on the dusty marble floor, leading towards an open window, a silent testament to the thief's daring escape. The distant hum of activity draws you to a [renovation corridor], its hidden nooks and crannies perfect for concealing stolen treasures, urging you to delve further into the shadows of this mystery."/>
    <s v="c1, c2, c3"/>
    <n v="2"/>
    <n v="2"/>
    <n v="1"/>
    <m/>
    <m/>
    <m/>
    <m/>
    <m/>
    <m/>
    <m/>
    <m/>
    <n v="3"/>
    <n v="5"/>
    <n v="1.6666666666666667"/>
    <n v="83.333333333333343"/>
    <m/>
    <n v="810"/>
  </r>
  <r>
    <x v="2"/>
    <x v="0"/>
    <n v="1"/>
    <s v="full_game"/>
    <s v="Full game (expected input)"/>
    <n v="1"/>
    <s v="Visit Louvre"/>
    <s v="Narrator: Under the dim glow of the Louvre Museum's security lights, you enter the eerily quiet halls, your footsteps echoing off the polished marble floors. The air is thick with the whispers of history, and the weight of the recent heist hangs heavily in the atmosphere. Your eyes are drawn to a vibrant [egyptian exhibit poster] hanging on the wall, its colors vivid against the muted surroundings, a reminder of the chaos that unfolded here. As you navigate through the deserted corridors, you notice a [gold-dusted vest] discarded near a service entrance, hinting at the thieves' clever disguise. The faint outline of a [balcony footprint] catches your eye, a subtle sign of their daring escape route. Turning a corner, you find yourself in a [renovation corridor], the perfect cover for the heist, and you sense you're closing in on the truth, the thrill of the chase igniting your resolve."/>
    <s v="c1, c2, c3"/>
    <n v="2"/>
    <n v="2"/>
    <n v="2"/>
    <m/>
    <m/>
    <m/>
    <m/>
    <m/>
    <m/>
    <m/>
    <m/>
    <n v="3"/>
    <n v="6"/>
    <n v="2"/>
    <n v="100"/>
    <m/>
    <n v="896"/>
  </r>
  <r>
    <x v="0"/>
    <x v="0"/>
    <n v="1"/>
    <s v="full_game"/>
    <s v="Full game (expected input)"/>
    <n v="1"/>
    <s v="add clues gold-dusted vest, balcony footprint"/>
    <s v="Boss says: Well, look who finally decided to do their job. Congrats on finding something actually useful. It's almost like you're a real detective now. Keep it up, and you might even surprise me again."/>
    <s v="c1, c2, c3"/>
    <n v="2"/>
    <n v="2"/>
    <n v="1"/>
    <m/>
    <m/>
    <m/>
    <m/>
    <m/>
    <m/>
    <m/>
    <m/>
    <n v="3"/>
    <n v="5"/>
    <n v="1.6666666666666667"/>
    <n v="83.333333333333343"/>
    <m/>
    <n v="201"/>
  </r>
  <r>
    <x v="1"/>
    <x v="0"/>
    <n v="1"/>
    <s v="full_game"/>
    <s v="Full game (expected input)"/>
    <n v="1"/>
    <s v="add clues gold-dusted vest, balcony footprint"/>
    <s v="Boss says: Well, look at that—you actually managed to submit something relevant and useful. I was beginning to think you were just here for the coffee. Don't let this newfound competence go to your head; let's see if you can keep it up."/>
    <s v="c1, c2, c3"/>
    <n v="2"/>
    <n v="2"/>
    <n v="2"/>
    <m/>
    <m/>
    <m/>
    <m/>
    <m/>
    <m/>
    <m/>
    <m/>
    <n v="3"/>
    <n v="6"/>
    <n v="2"/>
    <n v="100"/>
    <m/>
    <n v="236"/>
  </r>
  <r>
    <x v="2"/>
    <x v="0"/>
    <n v="1"/>
    <s v="full_game"/>
    <s v="Full game (expected input)"/>
    <n v="1"/>
    <s v="add clues gold-dusted vest, balcony footprint"/>
    <s v="Boss says: Well, look who decided to finally do their job correctly—congratulations on submitting valid clues. I was beginning to think you'd need a map to find a clue in the first place. Keep this up, and you might just meet the bare minimum expectations around here."/>
    <s v="c1, c2, c3"/>
    <n v="2"/>
    <n v="2"/>
    <n v="2"/>
    <m/>
    <m/>
    <m/>
    <m/>
    <m/>
    <m/>
    <m/>
    <m/>
    <n v="3"/>
    <n v="6"/>
    <n v="2"/>
    <n v="100"/>
    <m/>
    <n v="268"/>
  </r>
  <r>
    <x v="0"/>
    <x v="0"/>
    <n v="1"/>
    <s v="full_game"/>
    <s v="Full game (expected input)"/>
    <n v="1"/>
    <s v="visit cafe de flore"/>
    <s v="Narrator: As you step into the bustling `Café de Flore`, the rich aroma of freshly brewed coffee envelops you, mingling with the chatter of intellectuals and tourists alike. Your eyes are immediately drawn to a table in the corner, where a [cash-stacked table] seems out of place amidst the usual patrons. Nearby, an artist sketches absentmindedly, and you notice a [crown doodle] emerging on his notepad, raising your suspicion. On another table, [philosophy notebooks] are scattered, their pages filled with profound thoughts and cryptic annotations. Among the remnants of hurried conversations, [empty espresso cups] clutter the tabletops, suggesting the recent presence of someone who might hold the key to your investigation."/>
    <s v="c1, c2, c3"/>
    <n v="1"/>
    <n v="1"/>
    <n v="2"/>
    <m/>
    <m/>
    <m/>
    <m/>
    <m/>
    <m/>
    <m/>
    <m/>
    <n v="3"/>
    <n v="4"/>
    <n v="1.3333333333333333"/>
    <n v="66.666666666666657"/>
    <m/>
    <n v="730"/>
  </r>
  <r>
    <x v="1"/>
    <x v="0"/>
    <n v="1"/>
    <s v="full_game"/>
    <s v="Full game (expected input)"/>
    <n v="1"/>
    <s v="visit cafe de flore"/>
    <s v="Narrator: The air is thick with the aroma of freshly brewed coffee as you step into Café de Flore, a Parisian haven bustling with chatter and the clinking of porcelain. This spot is known for its intellectual history, a fitting backdrop for those who orchestrated the audacious heist at the Louvre. Your eyes scan the tables, eventually landing on a [cash-stacked table] in the corner, seemingly abandoned yet oddly conspicuous. Nearby, a collection of [philosophy notebooks] lie open, their pages scribbled with musings that could hide a coded message. Among the clutter of the table, you spot an odd [crown doodle] on a napkin, its simplicity betraying a deeper significance. As you ponder these connections over [empty espresso cups], you sense the trail growing warmer, each clue pulling you deeper into the web of intrigue that stretches across Europe."/>
    <s v="c1, c2, c3"/>
    <n v="1"/>
    <n v="1"/>
    <n v="1"/>
    <m/>
    <m/>
    <m/>
    <m/>
    <m/>
    <m/>
    <m/>
    <m/>
    <n v="3"/>
    <n v="3"/>
    <n v="1"/>
    <n v="50"/>
    <m/>
    <n v="857"/>
  </r>
  <r>
    <x v="2"/>
    <x v="0"/>
    <n v="1"/>
    <s v="full_game"/>
    <s v="Full game (expected input)"/>
    <n v="1"/>
    <s v="visit cafe de flore"/>
    <s v="Narrator: You step into the bustling atmosphere of Café de Flore, the aroma of freshly brewed coffee mingling with the chatter of patrons. As you scan the room, your eyes catch a glimpse of a [cash-stacked table] in the corner, an unusual sight amidst the usual clientele. You edge closer, noticing a scattered collection of [philosophy notebooks] beside the cash, their pages filled with scribbled musings. On the table, a [crown doodle] is etched hastily onto a napkin, the symbol strikingly familiar from the heist at the Louvre. Nearby, a pair of [empty espresso cups] suggests a hasty departure, leaving you with the feeling that you’re one step behind the elusive thieves."/>
    <s v="c1, c2, c3"/>
    <n v="2"/>
    <n v="2"/>
    <n v="2"/>
    <m/>
    <m/>
    <m/>
    <m/>
    <m/>
    <m/>
    <m/>
    <m/>
    <n v="3"/>
    <n v="6"/>
    <n v="2"/>
    <n v="100"/>
    <m/>
    <n v="678"/>
  </r>
  <r>
    <x v="0"/>
    <x v="0"/>
    <n v="1"/>
    <s v="full_game"/>
    <s v="Full game (expected input)"/>
    <n v="1"/>
    <s v="add clues crown doodle, cash-stacked table"/>
    <s v="Boss says: Wow, you actually found something useful. I’m shocked. I guess miracles do happen. Keep up this unexpected competence._x000a__x000a__x000a_Boss says: You’re done with Paris. Finally. Brussels is open. Move it."/>
    <s v="c1, c2, c3"/>
    <n v="2"/>
    <n v="2"/>
    <n v="2"/>
    <m/>
    <m/>
    <m/>
    <m/>
    <m/>
    <m/>
    <m/>
    <m/>
    <n v="3"/>
    <n v="6"/>
    <n v="2"/>
    <n v="100"/>
    <m/>
    <n v="202"/>
  </r>
  <r>
    <x v="1"/>
    <x v="0"/>
    <n v="1"/>
    <s v="full_game"/>
    <s v="Full game (expected input)"/>
    <n v="1"/>
    <s v="add clues crown doodle, cash-stacked table"/>
    <s v="Boss says: Well, look who finally decided to join the ranks of the competent. Your submission is actually useful—what a shocker! Maybe next time, we won't need a parade when you get something right. Keep it up, or at least try to._x000a__x000a__x000a_Boss says: Paris is done. Brussels is now unlocked. Stop standing around and get moving. Time is ticking."/>
    <s v="c1, c2, c3"/>
    <n v="2"/>
    <n v="2"/>
    <n v="2"/>
    <m/>
    <m/>
    <m/>
    <m/>
    <m/>
    <m/>
    <m/>
    <m/>
    <n v="3"/>
    <n v="6"/>
    <n v="2"/>
    <n v="100"/>
    <m/>
    <n v="338"/>
  </r>
  <r>
    <x v="2"/>
    <x v="0"/>
    <n v="1"/>
    <s v="full_game"/>
    <s v="Full game (expected input)"/>
    <n v="1"/>
    <s v="add clues crown doodle, cash-stacked table"/>
    <s v="Boss says: Well, look at that—you actually managed to submit valid clues. I guess miracles do happen. Don't get too comfortable; this is what you're supposed to be doing. Keep up the bare minimum, will you?_x000a__x000a__x000a_Boss says: Paris is done. Brussels is unlocked. Don’t dawdle—move on. Time’s ticking."/>
    <s v="c1, c2, c3"/>
    <n v="2"/>
    <n v="2"/>
    <n v="2"/>
    <m/>
    <m/>
    <m/>
    <m/>
    <m/>
    <m/>
    <m/>
    <m/>
    <n v="3"/>
    <n v="6"/>
    <n v="2"/>
    <n v="100"/>
    <m/>
    <n v="294"/>
  </r>
  <r>
    <x v="0"/>
    <x v="0"/>
    <n v="1"/>
    <s v="full_game"/>
    <s v="Full game (expected input)"/>
    <n v="1"/>
    <s v="Travel to brussels"/>
    <s v="Narrator: As you sip the last of your espresso at the iconic Café de Flore in Paris, the gentle hum of the city wraps around you like a familiar embrace. Today, you embark on a seamless journey northward to the vibrant city of Brussels. With the crisp morning air invigorating your senses, you make your way to the Gare du Nord, where the Thalys train awaits. Your journey unfolds like a well-rehearsed symphony: the train glides effortlessly through the picturesque French countryside, each passing village a fleeting whisper of charm and history. You find your seat by the window, the rhythmic clatter of the tracks providing a soothing backdrop to your thoughts. Luck is on your side, for the journey is smooth and punctual, each connection aligning perfectly as though choreographed by the travel gods themselves._x000a__x000a_As the train crosses into Belgium, the landscape subtly shifts, fields giving way to the gentle undulations of the Flemish countryside. Your fellow travelers, a mosaic of languages and stories, add to the rich tapestry of your adventure. Before you know it, you arrive in Brussels, the city greeting you with its characteristic blend of old-world grandeur and modern vibrancy. The aroma of waffles and chocolate beckons as you step off the train, your journey from the heart of Paris to this new city a testament to your impeccable timing and fortune. Welcome to Brussels, where your next chapter awaits with open arms._x000a__x000a__x000a_Boss says: Listen up! You’ve landed in Brussels. The team didn’t pick these spots for their health! Get to [Grand Place], [Brussels Central Station], [Belgian Comic Strip Center], and [Botanical Garden of Brussels]. Chop chop! No time to waste!"/>
    <s v="c1, c2, c3"/>
    <n v="0"/>
    <n v="1"/>
    <n v="1"/>
    <m/>
    <m/>
    <m/>
    <m/>
    <m/>
    <m/>
    <m/>
    <m/>
    <n v="3"/>
    <n v="2"/>
    <n v="0.66666666666666663"/>
    <n v="33.333333333333329"/>
    <m/>
    <n v="1685"/>
  </r>
  <r>
    <x v="1"/>
    <x v="0"/>
    <n v="1"/>
    <s v="full_game"/>
    <s v="Full game (expected input)"/>
    <n v="1"/>
    <s v="Travel to brussels"/>
    <s v="Narrator: Your journey from the artistic heart of Paris, a city that dances between the past and the present with each cobblestone, begins at the iconic Café de Flore. With the aroma of freshly brewed coffee still lingering in your senses, you step onto the train that promises to whisk you away to the vibrant charm of Brussels. The train glides smoothly out of the station, the world outside transforming into a blur of lush countryside and quaint villages._x000a__x000a_But as fate would have it, the universe has decided to play a little game. Your train encounters a series of delays, each more whimsical than the last: a herd of sheep leisurely crossing the tracks, an unscheduled stop at a picturesque town you never knew existed, and a comical mix-up with the luggage that sees your suitcase momentarily join a group of tourists headed in the wrong direction. What should have been a swift journey stretches over three amusing days, each moment an unexpected chapter in your travel saga. Finally, as the sun dips below the horizon, painting the sky in hues of amber and violet, you arrive in Brussels. The city awaits with its twinkling lights and the promise of new discoveries, ready to weave you into its own unique tapestry._x000a__x000a__x000a_Boss says: Agent, welcome to Brussels. The team has narrowed down your next stops. Get to [Grand Place], then make your way to [Brussels Central Station]. Don't dawdle; next up is the [Belgian Comic Strip Center], and wrap it up at the [Botanical Garden of Brussels]. Chop-chop! This investigation won't solve itself."/>
    <s v="c1, c2, c3"/>
    <n v="1"/>
    <n v="2"/>
    <n v="1"/>
    <m/>
    <m/>
    <m/>
    <m/>
    <m/>
    <m/>
    <m/>
    <m/>
    <n v="3"/>
    <n v="4"/>
    <n v="1.3333333333333333"/>
    <n v="66.666666666666657"/>
    <m/>
    <n v="1544"/>
  </r>
  <r>
    <x v="2"/>
    <x v="0"/>
    <n v="1"/>
    <s v="full_game"/>
    <s v="Full game (expected input)"/>
    <n v="1"/>
    <s v="Travel to brussels"/>
    <s v="Narrator: As the sun rose over the iconic Parisian skyline, you found yourself bidding adieu to the charming allure of Café de Flore. The journey from Paris to Brussels promised a swift passage, yet the winds of fortune had their own playful agenda. Boarding the sleek train that whisked you through the French countryside, you were lulled by the rhythmic clatter of wheels on tracks. However, as fate would have it, the train decided to adopt a more leisurely pace, turning what was meant to be a quick jaunt into a two-day escapade._x000a__x000a_Your first hint of delay came when a jovial conductor, with an apologetic smile, informed passengers of unexpected track maintenance. Undeterred, you embraced the opportunity to savor the rustic charm of a quaint village stop, where a local market offered a delightful array of cheeses and pastries. As the journey resumed, a minor detour led you through verdant landscapes, each scene more picturesque than the last. Finally, as the train rolled into Brussels, the city welcomed you with its intricate lacework of streets and the promise of new discoveries. This brief interlude, though extended, was a tapestry of unplanned adventures and delightful mishaps, setting the stage for the next chapter of your investigation._x000a__x000a__x000a_Boss says: Agent, welcome to Brussels. The team has boiled it down for you. Get to [Grand Place], [Brussels Central Station], [Belgian Comic Strip Center], and [Botanical Garden of Brussels] pronto. We don't have all day. Move it!"/>
    <s v="c1, c2, c3"/>
    <n v="2"/>
    <n v="2"/>
    <n v="2"/>
    <m/>
    <m/>
    <m/>
    <m/>
    <m/>
    <m/>
    <m/>
    <m/>
    <n v="3"/>
    <n v="6"/>
    <n v="2"/>
    <n v="100"/>
    <m/>
    <n v="1491"/>
  </r>
  <r>
    <x v="0"/>
    <x v="0"/>
    <n v="1"/>
    <s v="full_game"/>
    <s v="Full game (expected input)"/>
    <n v="1"/>
    <s v="visit grand place"/>
    <s v="Narrator: As you step into the bustling heart of the Grand Place, the vibrant scene almost distracts you from your mission. However, your keen eye quickly spots [temporary hoarding panels] surrounding one of the guildhalls, hinting at recent construction work that seems oddly timed. You weave through the crowd and find a [dusty jewel bag] tucked discreetly behind one of the panels, its presence confirming your suspicions. Nearby, an [umbrella with monogram] leans against a lamppost, its initials matching those of a known member of the gang. As you gaze upwards, the [guildhall flags] flutter in the wind, casting shadows that seem to point toward the next step in your pursuit."/>
    <s v="c1, c2, c3"/>
    <n v="1"/>
    <n v="2"/>
    <n v="2"/>
    <m/>
    <m/>
    <m/>
    <m/>
    <m/>
    <m/>
    <m/>
    <m/>
    <n v="3"/>
    <n v="5"/>
    <n v="1.6666666666666667"/>
    <n v="83.333333333333343"/>
    <m/>
    <n v="683"/>
  </r>
  <r>
    <x v="1"/>
    <x v="0"/>
    <n v="1"/>
    <s v="full_game"/>
    <s v="Full game (expected input)"/>
    <n v="1"/>
    <s v="visit grand place"/>
    <s v="Narrator: As you step into the bustling heart of Grand Place, the cobblestones echo beneath your feet, a stark contrast to the silent corridors of the Louvre that now stand stripped of their treasures. The vibrant flags adorning the guildhalls flutter in the wind, and your eyes catch sight of a [dusty jewel bag] tucked behind a nearby bench, its presence a silent whisper of the heist's aftermath. Your gaze shifts to the [temporary hoarding panels] erected around a construction site, reminiscent of the thieves' clever disguises. A discarded [umbrella with monogram] lies abandoned against a wall, its initials teasing you with the possibility of a lead. With each clue weaving into the fabric of the city, you sense the chase tightening, the path to justice drawing near."/>
    <s v="c1, c2, c3"/>
    <n v="0"/>
    <n v="1"/>
    <n v="1"/>
    <m/>
    <m/>
    <m/>
    <m/>
    <m/>
    <m/>
    <m/>
    <m/>
    <n v="3"/>
    <n v="2"/>
    <n v="0.66666666666666663"/>
    <n v="33.333333333333329"/>
    <m/>
    <n v="776"/>
  </r>
  <r>
    <x v="2"/>
    <x v="0"/>
    <n v="1"/>
    <s v="full_game"/>
    <s v="Full game (expected input)"/>
    <n v="1"/>
    <s v="visit grand place"/>
    <s v="Narrator: As you step into the bustling heart of Grand Place, the ornate facades of the guildhalls loom over the square, whispering secrets of old trades and clandestine dealings. The air is charged with the urgency of your mission—tracking the audacious thieves who vanished with the Louvre's crown jewels. Your eyes catch sight of [temporary hoarding panels] haphazardly stacked near a construction site, echoing the gang's deceptive guise. A [dusty jewel bag] lies discarded in the shadow of a grand monument, a grim reminder of what was lost. Glancing up, your gaze fixes on the fluttering [guildhall flags], their vibrant colors a stark contrast to the ominous task at hand. Nearby, an [umbrella with monogram] rests against a café table, its owner nowhere in sight, hinting at a hurried departure. The scene sets your pulse racing, driving you deeper into the tangled web of this high-stakes pursuit."/>
    <s v="c1, c2, c3"/>
    <n v="2"/>
    <n v="2"/>
    <n v="2"/>
    <m/>
    <m/>
    <m/>
    <m/>
    <m/>
    <m/>
    <m/>
    <m/>
    <n v="3"/>
    <n v="6"/>
    <n v="2"/>
    <n v="100"/>
    <m/>
    <n v="906"/>
  </r>
  <r>
    <x v="0"/>
    <x v="0"/>
    <n v="1"/>
    <s v="full_game"/>
    <s v="Full game (expected input)"/>
    <n v="1"/>
    <s v="add clues dusty jewel bag, umbrella with monogram"/>
    <s v="Boss says: Oh wow, you found relevant clues. What a revelation! Almost like that's your job or something. Keep this up, and you might actually meet basic expectations."/>
    <s v="c1, c2, c3"/>
    <n v="2"/>
    <n v="2"/>
    <n v="2"/>
    <m/>
    <m/>
    <m/>
    <m/>
    <m/>
    <m/>
    <m/>
    <m/>
    <n v="3"/>
    <n v="6"/>
    <n v="2"/>
    <n v="100"/>
    <m/>
    <n v="167"/>
  </r>
  <r>
    <x v="1"/>
    <x v="0"/>
    <n v="1"/>
    <s v="full_game"/>
    <s v="Full game (expected input)"/>
    <n v="1"/>
    <s v="add clues dusty jewel bag, umbrella with monogram"/>
    <s v="Boss says: Well, well, well, look who finally decided to submit something useful. I was beginning to think miracles were a myth. Try to keep this up, and maybe I won't need to buy a new stress ball this week."/>
    <s v="c1, c2, c3"/>
    <n v="2"/>
    <n v="2"/>
    <n v="2"/>
    <m/>
    <m/>
    <m/>
    <m/>
    <m/>
    <m/>
    <m/>
    <m/>
    <n v="3"/>
    <n v="6"/>
    <n v="2"/>
    <n v="100"/>
    <m/>
    <n v="208"/>
  </r>
  <r>
    <x v="2"/>
    <x v="0"/>
    <n v="1"/>
    <s v="full_game"/>
    <s v="Full game (expected input)"/>
    <n v="1"/>
    <s v="add clues dusty jewel bag, umbrella with monogram"/>
    <s v="Boss says: Well, well, look who finally managed to submit something that isn't a complete disaster. Congratulations on doing the bare minimum and submitting valid clues for once. Let’s hope this isn't a one-off miracle and you continue to perform at a level that doesn't make me want to tear my hair out."/>
    <s v="c1, c2, c3"/>
    <n v="2"/>
    <n v="2"/>
    <n v="2"/>
    <m/>
    <m/>
    <m/>
    <m/>
    <m/>
    <m/>
    <m/>
    <m/>
    <n v="3"/>
    <n v="6"/>
    <n v="2"/>
    <n v="100"/>
    <m/>
    <n v="304"/>
  </r>
  <r>
    <x v="0"/>
    <x v="0"/>
    <n v="1"/>
    <s v="full_game"/>
    <s v="Full game (expected input)"/>
    <n v="1"/>
    <s v="visit central station"/>
    <s v="Narrator: As you step into the bustling heart of Brussels Central Station, the sound of trains rushing past fills your ears. Your eyes scan the crowd, catching sight of a [chocolate kiosk] that seems innocuous at first glance, yet there's an unsettling aura about it. Nearby, you notice a [suspicious backpack] carelessly left on a bench, its contents concealed but potentially significant to your case. Your instincts guide you to a [security camera snapshot] taped to a wall, showing figures hastily making their way through the station. You pause to study the [platform signage], each line a potential trail leading you closer to the elusive criminals who orchestrated the audacious heist."/>
    <s v="c1, c2, c3"/>
    <n v="1"/>
    <n v="2"/>
    <n v="1"/>
    <m/>
    <m/>
    <m/>
    <m/>
    <m/>
    <m/>
    <m/>
    <m/>
    <n v="3"/>
    <n v="4"/>
    <n v="1.3333333333333333"/>
    <n v="66.666666666666657"/>
    <m/>
    <n v="692"/>
  </r>
  <r>
    <x v="1"/>
    <x v="0"/>
    <n v="1"/>
    <s v="full_game"/>
    <s v="Full game (expected input)"/>
    <n v="1"/>
    <s v="visit central station"/>
    <s v="Narrator: The bustling atmosphere of Brussels Central Station envelops you as you step onto the platform, the echoes of your mission at the Louvre still resonating in your mind. You're here to trace the elusive gang of thieves, their trail as cold as the marble floors beneath your feet. Your eyes catch a [chocolate kiosk] nearby, its sweet wares a stark contrast to the bitter chase you're on. A [suspicious backpack] slung carelessly on a bench draws your attention, its contents potentially holding secrets of the heist. You glance at the [security camera snapshot] in your hand, trying to match the grainy figures with the passersby. As you move towards the [platform signage], the weight of the investigation presses upon you, each step echoing with the urgency to uncover the truth."/>
    <s v="c1, c2, c3"/>
    <n v="2"/>
    <n v="2"/>
    <n v="2"/>
    <m/>
    <m/>
    <m/>
    <m/>
    <m/>
    <m/>
    <m/>
    <m/>
    <n v="3"/>
    <n v="6"/>
    <n v="2"/>
    <n v="100"/>
    <m/>
    <n v="789"/>
  </r>
  <r>
    <x v="2"/>
    <x v="0"/>
    <n v="1"/>
    <s v="full_game"/>
    <s v="Full game (expected input)"/>
    <n v="1"/>
    <s v="visit central station"/>
    <s v="Narrator: As you step into the bustling confines of Brussels Central Station, the air is thick with the aroma of freshly brewed coffee and the chatter of travelers. The case of the Louvre heist still fresh in your mind, you scan the scene for any hint of the elusive gang. Your attention is drawn to a [chocolate kiosk], where the vendor's nervous glances suggest something more than just a sweet tooth. Nearby, a [suspicious backpack] rests unattended on a bench, its bulging contents a potential link in the chain of events. You make your way to the security office, where a [security camera snapshot] awaits, capturing a fleeting image of a known associate of the thieves. The [platform signage] above you flickers, announcing the next train to Paris, and with it, the possibility of closing in on your quarry."/>
    <s v="c1, c2, c3"/>
    <n v="2"/>
    <n v="2"/>
    <n v="2"/>
    <m/>
    <m/>
    <m/>
    <m/>
    <m/>
    <m/>
    <m/>
    <m/>
    <n v="3"/>
    <n v="6"/>
    <n v="2"/>
    <n v="100"/>
    <m/>
    <n v="813"/>
  </r>
  <r>
    <x v="0"/>
    <x v="0"/>
    <n v="1"/>
    <s v="full_game"/>
    <s v="Full game (expected input)"/>
    <n v="1"/>
    <s v="add clues suspicious backpack, security camera snapshot"/>
    <s v="Boss says: Oh look, you actually found relevant clues. I’m shocked, truly. It’s almost like you’re doing the job you’re paid for. Keep this up and we might actually solve a case._x000a__x000a__x000a_Boss says: You’re done in Brussels. Amsterdam’s waiting. Get moving. Don’t waste time."/>
    <s v="c1, c2, c3"/>
    <n v="2"/>
    <n v="2"/>
    <n v="2"/>
    <m/>
    <m/>
    <m/>
    <m/>
    <m/>
    <m/>
    <m/>
    <m/>
    <n v="3"/>
    <n v="6"/>
    <n v="2"/>
    <n v="100"/>
    <m/>
    <n v="267"/>
  </r>
  <r>
    <x v="1"/>
    <x v="0"/>
    <n v="1"/>
    <s v="full_game"/>
    <s v="Full game (expected input)"/>
    <n v="1"/>
    <s v="add clues suspicious backpack, security camera snapshot"/>
    <s v="Boss says: Well, look who finally decided to submit something useful. Congratulations, you’ve reached the baseline of not being completely useless. Don’t get too comfortable with the pat on the back; I expect this level of competence more than once in a blue moon._x000a__x000a__x000a_Boss says: Brussels is done. Amsterdam is unlocked and waiting. Don't dawdle—get moving. Time is ticking."/>
    <s v="c1, c2, c3"/>
    <n v="2"/>
    <n v="2"/>
    <n v="1"/>
    <m/>
    <m/>
    <m/>
    <m/>
    <m/>
    <m/>
    <m/>
    <m/>
    <n v="3"/>
    <n v="5"/>
    <n v="1.6666666666666667"/>
    <n v="83.333333333333343"/>
    <m/>
    <n v="372"/>
  </r>
  <r>
    <x v="2"/>
    <x v="0"/>
    <n v="1"/>
    <s v="full_game"/>
    <s v="Full game (expected input)"/>
    <n v="1"/>
    <s v="add clues suspicious backpack, security camera snapshot"/>
    <s v="Boss says: Well, well, look who finally decided to submit something useful. It only took how long? A miracle, really. Keep up this level of competence, and maybe, just maybe, we'll solve a case before the century is out._x000a__x000a__x000a_Boss says: Brussels is done. Amsterdam's unlocked. Move it. Get going."/>
    <s v="c1, c2, c3"/>
    <n v="2"/>
    <n v="2"/>
    <n v="2"/>
    <m/>
    <m/>
    <m/>
    <m/>
    <m/>
    <m/>
    <m/>
    <m/>
    <n v="3"/>
    <n v="6"/>
    <n v="2"/>
    <n v="100"/>
    <m/>
    <n v="293"/>
  </r>
  <r>
    <x v="0"/>
    <x v="0"/>
    <n v="1"/>
    <s v="full_game"/>
    <s v="Full game (expected input)"/>
    <n v="1"/>
    <s v="Travel to amsterdam"/>
    <s v="Narrator: Ah, brave traveler, your journey from the bustling heart of Brussels, at the iconic Brussels Central Station, to the charming canals of Amsterdam is set to be an adventure of both delight and patience. You set off with the excitement of a swift train ride ahead, a mere day’s journey through the picturesque landscapes of Belgium and the Netherlands. However, the travel gods have decided to sprinkle a bit of mischief along your path. As your train gently glides out of Brussels, a whimsical announcement crackles through the speakers: a delightful, yet unplanned, delay of two days due to a most unusual occurrence—a parade of cows has decided to take a leisurely stroll across the tracks near Antwerp, their bovine curiosity piqued by the rumble of passing locomotives._x000a__x000a_Not one to be deterred, you embrace this unexpected turn with good humor. You find yourself an impromptu guest in Antwerp, where you explore cobblestone streets and savor the local chocolates, while the cows, having concluded their promenade, allow the journey to resume. As you finally cross the Dutch border, the train conductor, with a wink, assures you that these delays are but tales to share over a warm drink in an Amsterdam café. And so, with a story to tell and a smile on your face, you arrive in Amsterdam, two days later than planned but richer for the experience._x000a__x000a__x000a_Boss says: Agent, you're in Amsterdam. Focus! The team has boiled it down for you. Hit [Dam Square], then move to [Anne Frank House]. Don't dawdle! Next, check out [Canal-side Café]—no coffee breaks! Finally, get to [Vondelpark]. Get it done, and don't waste time!"/>
    <s v="c1, c2, c3"/>
    <n v="2"/>
    <n v="2"/>
    <n v="2"/>
    <m/>
    <m/>
    <m/>
    <m/>
    <m/>
    <m/>
    <m/>
    <m/>
    <n v="3"/>
    <n v="6"/>
    <n v="2"/>
    <n v="100"/>
    <m/>
    <n v="1627"/>
  </r>
  <r>
    <x v="1"/>
    <x v="0"/>
    <n v="1"/>
    <s v="full_game"/>
    <s v="Full game (expected input)"/>
    <n v="1"/>
    <s v="Travel to amsterdam"/>
    <s v="Narrator: As you depart from the bustling heart of Brussels, the iconic Brussels Central Station, the train hums beneath your feet, whisking you towards the vibrant allure of Amsterdam. The journey begins with the gentle sway of the carriage, the rhythmic clatter of wheels on tracks a comforting backdrop as Belgium’s lush countryside unfurls outside your window. But ah, the gods of travel have a mischievous glint in their eye today! Just as you settle into the tranquil rhythm, a sudden announcement crackles through the intercom: a flock of wayward geese has chosen the tracks for an impromptu picnic, resulting in a delay. _x000a__x000a_Undeterred, you embrace this unexpected pause with a sense of humor, indulging in a steaming cup of Belgian hot chocolate from the train’s café. Hours stretch languidly, as the delay morphs into a comedic saga of track-switching shenanigans and missing conductors. By the time you cross into the Netherlands, the sun has dipped into the horizon, painting the sky in shades of amber and rose. Finally, after a journey that has sprawled over five unplanned days filled with amusing anecdotes and newfound patience, the train pulls into the bustling embrace of Amsterdam. The city’s canals glisten under the moonlit sky, welcoming you with open arms and the promise of new adventures to come._x000a__x000a__x000a_Boss says: Welcome to Amsterdam, agent. The team has narrowed down your next stops to these crucial spots: [Dam Square], [Anne Frank House], [Canal-side Café], and [Vondelpark]. Get moving, time's ticking, and this investigation won't solve itself. I expect results."/>
    <s v="c1, c2, c3"/>
    <n v="2"/>
    <n v="1"/>
    <n v="1"/>
    <m/>
    <m/>
    <m/>
    <m/>
    <m/>
    <m/>
    <m/>
    <m/>
    <n v="3"/>
    <n v="4"/>
    <n v="1.3333333333333333"/>
    <n v="66.666666666666657"/>
    <m/>
    <n v="1589"/>
  </r>
  <r>
    <x v="2"/>
    <x v="0"/>
    <n v="1"/>
    <s v="full_game"/>
    <s v="Full game (expected input)"/>
    <n v="1"/>
    <s v="Travel to amsterdam"/>
    <s v="Narrator: As you step out of Brussels Central Station, the bustling heart of Brussels, the air is filled with the promise of a new adventure. The journey to Amsterdam, a city of canals and cobblestones, awaits you with open arms. You board the sleek Thalys train, its polished exterior gleaming like a red arrow poised to fly. But as the train glides smoothly out of the station, a comedic dance of misfortune begins. A sudden announcement crackles over the intercom: a herd of sheep has wandered onto the tracks near Antwerp. The train halts, and you find yourself peering out at the pastoral scene, a gentle reminder of the countryside's unpredictable charm._x000a__x000a_Hours stretch into an unexpected overnight stay, the sheep stubbornly holding court. Yet, this delay gifts you a serendipitous exploration of Antwerp's quaint streets by moonlight. As dawn breaks, the tracks clear, and you’re once again en route, the train humming a steady rhythm. You arrive in Amsterdam a little later than planned, but the city's vibrant energy quickly envelops you. The delay may have added two days to your journey, but it also added stories worth telling, a whimsical prelude to your investigation in the heart of the Netherlands._x000a__x000a__x000a_Boss says: Welcome to Amsterdam, agent. Our team has boiled down your next stops. Visit [Dam Square], [Anne Frank House], [Canal-side Café], and [Vondelpark]. Move it! The clock's ticking, and this investigation isn't waiting for you. Get to it."/>
    <s v="c1, c2, c3"/>
    <n v="1"/>
    <n v="2"/>
    <n v="2"/>
    <m/>
    <m/>
    <m/>
    <m/>
    <m/>
    <m/>
    <m/>
    <m/>
    <n v="3"/>
    <n v="5"/>
    <n v="1.6666666666666667"/>
    <n v="83.333333333333343"/>
    <s v="verbose"/>
    <n v="1463"/>
  </r>
  <r>
    <x v="0"/>
    <x v="0"/>
    <n v="1"/>
    <s v="full_game"/>
    <s v="Full game (expected input)"/>
    <n v="1"/>
    <s v="visit dam square"/>
    <s v="Narrator: As you step into the bustling heart of Dam Square, the vibrant energy of Amsterdam envelops you. Your eyes scan the area, quickly catching sight of [portable barricade stacks] near the edge of the square, remnants of a recent event that might have been used by the thieves to conceal their escape. The ground is littered with [chalk-marked paving], cryptic symbols hinting at a covert path through the city. Your attention is drawn to the tangled [event power cables], snaking along the cobblestones, possibly used to disable security systems during the heist. Nearby, the chatter of [souvenir vendors] fills the air, their stalls brimming with trinkets that could easily hide a secret message or clue. As you move through the square, every detail seems to pull you deeper into the mystery."/>
    <s v="c1, c2, c3"/>
    <n v="2"/>
    <n v="2"/>
    <n v="1"/>
    <m/>
    <m/>
    <m/>
    <m/>
    <m/>
    <m/>
    <m/>
    <m/>
    <n v="3"/>
    <n v="5"/>
    <n v="1.6666666666666667"/>
    <n v="83.333333333333343"/>
    <m/>
    <n v="800"/>
  </r>
  <r>
    <x v="1"/>
    <x v="0"/>
    <n v="1"/>
    <s v="full_game"/>
    <s v="Full game (expected input)"/>
    <n v="1"/>
    <s v="visit dam square"/>
    <s v="Narrator: As you step into the bustling heart of Amsterdam's Dam Square, the echoes of the Louvre heist resonate in your mind. Your eyes dart across the lively scene, searching for any sign of the thieves' trail. Among the throngs of tourists, you notice [portable barricade stacks] arranged inconspicuously along the edges of the square, reminiscent of the construction site ruse used in Paris. Your gaze follows the [chalk-marked paving], a subtle breadcrumb perhaps left by the criminals to guide their escape. Power hums through the [event power cables] snaking beneath your feet, suggesting a recent gathering, or perhaps, a cover for illicit activities. As you approach the [souvenir vendors], their chatter seems to carry whispers of secrets, drawing you closer to the truth."/>
    <s v="c1, c2, c3"/>
    <n v="2"/>
    <n v="2"/>
    <n v="2"/>
    <m/>
    <m/>
    <m/>
    <m/>
    <m/>
    <m/>
    <m/>
    <m/>
    <n v="3"/>
    <n v="6"/>
    <n v="2"/>
    <n v="100"/>
    <s v="connected with a previous scenario."/>
    <n v="782"/>
  </r>
  <r>
    <x v="2"/>
    <x v="0"/>
    <n v="1"/>
    <s v="full_game"/>
    <s v="Full game (expected input)"/>
    <n v="1"/>
    <s v="visit dam square"/>
    <s v="Narrator: As you step into the bustling heart of Dam Square, the air is thick with the chatter of tourists and the distant echo of street performers. The infamous heist at the Louvre still fresh in your mind, you scan the surroundings, keenly aware that the trail of the thieves might lead you here. Your eyes catch on [portable barricade stacks] lining the edges of an area marked for an upcoming event, a possible hideout or distraction used by the cunning gang. The cobblestones beneath your feet reveal [chalk-marked paving], hinting at a cryptic path or message left behind. Nearby, [event power cables] snake across the square, possibly powering more than just innocent festivities. Amidst the crowd, [souvenir vendors] peddle their wares, their presence a reminder of the constant movement and disguise, much like the thieves themselves. With every step, the pieces of this European puzzle grow clearer, yet the picture remains just out of reach."/>
    <s v="c1, c2, c3"/>
    <n v="2"/>
    <n v="2"/>
    <n v="2"/>
    <m/>
    <m/>
    <m/>
    <m/>
    <m/>
    <m/>
    <m/>
    <m/>
    <n v="3"/>
    <n v="6"/>
    <n v="2"/>
    <n v="100"/>
    <s v="more like a storytelling"/>
    <n v="953"/>
  </r>
  <r>
    <x v="0"/>
    <x v="0"/>
    <n v="1"/>
    <s v="full_game"/>
    <s v="Full game (expected input)"/>
    <n v="1"/>
    <s v="add clues portable barricade stacks, chalk-marked paving"/>
    <s v="Boss says: Wow, you found relevant clues. Gold star for doing your job! Maybe next time, we'll even get a parade. Keep up the bare minimum!"/>
    <s v="c1, c2, c3"/>
    <n v="2"/>
    <n v="2"/>
    <n v="2"/>
    <m/>
    <m/>
    <m/>
    <m/>
    <m/>
    <m/>
    <m/>
    <m/>
    <n v="3"/>
    <n v="6"/>
    <n v="2"/>
    <n v="100"/>
    <m/>
    <n v="139"/>
  </r>
  <r>
    <x v="1"/>
    <x v="0"/>
    <n v="1"/>
    <s v="full_game"/>
    <s v="Full game (expected input)"/>
    <n v="1"/>
    <s v="add clues portable barricade stacks, chalk-marked paving"/>
    <s v="Boss says: Well, look at that, you actually submitted something useful for once. I guess miracles do happen. Keep this up, and maybe one day, you'll reach the dizzying heights of basic competence."/>
    <s v="c1, c2, c3"/>
    <n v="2"/>
    <n v="2"/>
    <n v="2"/>
    <m/>
    <m/>
    <m/>
    <m/>
    <m/>
    <m/>
    <m/>
    <m/>
    <n v="3"/>
    <n v="6"/>
    <n v="2"/>
    <n v="100"/>
    <m/>
    <n v="196"/>
  </r>
  <r>
    <x v="2"/>
    <x v="0"/>
    <n v="1"/>
    <s v="full_game"/>
    <s v="Full game (expected input)"/>
    <n v="1"/>
    <s v="add clues portable barricade stacks, chalk-marked paving"/>
    <s v="node_outboundaries/start"/>
    <s v="c1, c2, c3"/>
    <n v="0"/>
    <n v="0"/>
    <n v="0"/>
    <m/>
    <m/>
    <m/>
    <m/>
    <m/>
    <m/>
    <m/>
    <m/>
    <n v="3"/>
    <n v="0"/>
    <n v="0"/>
    <n v="0"/>
    <s v="first attempt, routed to `outboundary`"/>
    <n v="24"/>
  </r>
  <r>
    <x v="2"/>
    <x v="0"/>
    <n v="1"/>
    <s v="full_game"/>
    <s v="Full game (expected input)"/>
    <n v="2"/>
    <s v="add clues portable barricade stacks, chalk-marked paving"/>
    <s v="Boss says: Well, look at that, you finally managed to submit something valid. I suppose even a broken clock is right twice a day. Let's see if you can make this a habit, shall we"/>
    <s v="c1, c2, c3"/>
    <n v="2"/>
    <n v="1"/>
    <n v="2"/>
    <m/>
    <m/>
    <m/>
    <m/>
    <m/>
    <m/>
    <m/>
    <m/>
    <n v="3"/>
    <n v="5"/>
    <n v="1.6666666666666667"/>
    <n v="83.333333333333343"/>
    <m/>
    <n v="178"/>
  </r>
  <r>
    <x v="0"/>
    <x v="0"/>
    <n v="1"/>
    <s v="full_game"/>
    <s v="Full game (expected input)"/>
    <n v="1"/>
    <s v="visit anne frank house"/>
    <s v="Narrator: You step into the historic Anne Frank House, the air thick with the whispers of the past. As you navigate through the narrow corridors, your eyes catch a glint of something unusual: a [non-public access tag] tucked beneath a dusty corner of the staircase. Your instincts kick in, urging you to inspect further, and you notice the [recently reinforced stair] under your feet, a curious anomaly in such an aged structure. Nearby, a [small key] lies hidden behind a loose brick, its purpose a mystery that begs to be solved. Just as you pocket the key, a group of [museum volunteers] passes by, their chatter hinting at odd occurrences in the area, fueling your determination to unravel the secrets left behind by the cunning thieves."/>
    <s v="c1, c2, c3"/>
    <n v="1"/>
    <n v="1"/>
    <n v="1"/>
    <m/>
    <m/>
    <m/>
    <m/>
    <m/>
    <m/>
    <m/>
    <m/>
    <n v="3"/>
    <n v="3"/>
    <n v="1"/>
    <n v="50"/>
    <m/>
    <n v="741"/>
  </r>
  <r>
    <x v="1"/>
    <x v="0"/>
    <n v="1"/>
    <s v="full_game"/>
    <s v="Full game (expected input)"/>
    <n v="1"/>
    <s v="visit anne frank house"/>
    <s v="Narrator: The air is heavy with history as you step into the hallowed halls of the Anne Frank House, a stark contrast to the chaos of the recent Louvre heist. You make your way through the narrow corridors, eyes scanning for any sign of the thieves' trail. A [non-public access tag] catches your attention, partially hidden beneath a loose floorboard, a potential lead pointing to unauthorized movement. As you ascend a [recently reinforced stair], it creaks underfoot, suggesting recent repairs that don't quite fit with the preserved nature of the building. In a dimly lit corner, you find a [small key], its purpose yet unknown, but its significance undeniable. A conversation with [museum volunteers] reveals an unusual interest in these repairs from an unfamiliar group, heightening the tension in your pursuit of justice."/>
    <s v="c1, c2, c3"/>
    <n v="2"/>
    <n v="2"/>
    <n v="2"/>
    <m/>
    <m/>
    <m/>
    <m/>
    <m/>
    <m/>
    <m/>
    <m/>
    <n v="3"/>
    <n v="6"/>
    <n v="2"/>
    <n v="100"/>
    <m/>
    <n v="827"/>
  </r>
  <r>
    <x v="2"/>
    <x v="0"/>
    <n v="1"/>
    <s v="full_game"/>
    <s v="Full game (expected input)"/>
    <n v="1"/>
    <s v="visit anne frank house"/>
    <s v="Narrator: As you step into the Anne Frank House, the air is thick with the weight of history, yet your mind is focused on the present case. The chatter of tourists fades as you notice a [non-public access tag] tucked discreetly into the pocket of a museum volunteer's uniform. Your footsteps echo against the [recently reinforced stair], a curious detail in such a historic setting. In a quiet corner, you find a [small key] hidden beneath a loose floorboard, its presence whispering secrets of clandestine meetings. The volunteers, usually so attentive, seem distracted, perhaps aware of something more than they let on. Your heart races with the realization that each clue brings you closer to unraveling the mystery of the Louvre heist."/>
    <s v="c1, c2, c3"/>
    <n v="2"/>
    <n v="2"/>
    <n v="2"/>
    <m/>
    <m/>
    <m/>
    <m/>
    <m/>
    <m/>
    <m/>
    <m/>
    <n v="3"/>
    <n v="6"/>
    <n v="2"/>
    <n v="100"/>
    <m/>
    <n v="739"/>
  </r>
  <r>
    <x v="0"/>
    <x v="0"/>
    <n v="1"/>
    <s v="full_game"/>
    <s v="Full game (expected input)"/>
    <n v="1"/>
    <s v="add clues non-public acess tag, small key"/>
    <s v="Boss says: Well, color me shocked! You actually found relevant clues. I almost forgot that's what you're paid for. Keep it up, Sherlock._x000a__x000a__x000a_Boss says: You’re done in Amsterdam. Berlin’s open. Get moving. Don’t waste time."/>
    <s v="c1, c2, c3"/>
    <n v="2"/>
    <n v="2"/>
    <n v="2"/>
    <m/>
    <m/>
    <m/>
    <m/>
    <m/>
    <m/>
    <m/>
    <m/>
    <n v="3"/>
    <n v="6"/>
    <n v="2"/>
    <n v="100"/>
    <m/>
    <n v="220"/>
  </r>
  <r>
    <x v="1"/>
    <x v="0"/>
    <n v="1"/>
    <s v="full_game"/>
    <s v="Full game (expected input)"/>
    <n v="1"/>
    <s v="add clues non-public acess tag, small key"/>
    <s v="Boss says: Well, well, well, it seems you finally managed to submit something useful. I was beginning to wonder if you knew what a relevant clue looked like. Let's hope this isn't a fluke and you keep up this sudden display of competence._x000a__x000a__x000a_Boss says: Amsterdam's done. Berlin's unlocked and waiting. Don't dawdle—move on now. Get to it!"/>
    <s v="c1, c2, c3"/>
    <n v="2"/>
    <n v="2"/>
    <n v="2"/>
    <m/>
    <m/>
    <m/>
    <m/>
    <m/>
    <m/>
    <m/>
    <m/>
    <n v="3"/>
    <n v="6"/>
    <n v="2"/>
    <n v="100"/>
    <m/>
    <n v="337"/>
  </r>
  <r>
    <x v="2"/>
    <x v="0"/>
    <n v="1"/>
    <s v="full_game"/>
    <s v="Full game (expected input)"/>
    <n v="1"/>
    <s v="add clues non-public acess tag, small key"/>
    <s v="Boss says: Well, well, look who finally managed to submit something valid. I suppose even a broken clock is right twice a day. Keep it up—maybe one day you’ll hit competence on purpose._x000a__x000a__x000a_Boss says: Amsterdam's done. Berlin's unlocked. Move it. Time's ticking."/>
    <s v="c1, c2, c3"/>
    <n v="2"/>
    <n v="2"/>
    <n v="1"/>
    <m/>
    <m/>
    <m/>
    <m/>
    <m/>
    <m/>
    <m/>
    <m/>
    <n v="3"/>
    <n v="5"/>
    <n v="1.6666666666666667"/>
    <n v="83.333333333333343"/>
    <m/>
    <n v="260"/>
  </r>
  <r>
    <x v="0"/>
    <x v="0"/>
    <n v="1"/>
    <s v="full_game"/>
    <s v="Full game (expected input)"/>
    <n v="1"/>
    <s v="Travel to berlin"/>
    <s v="Narrator: As you bid farewell to the picturesque canals and the poignant history of Amsterdam's Anne Frank House, you set your sights on the vibrant city of Berlin. Your journey is supposed to be a swift one-day affair, but, oh, how the travel gods love to play their little tricks! First, there was the unexpected delay at the Amsterdam train station due to a surprise inspection—apparently, a rogue artist decided the train was the perfect canvas for their next masterpiece. Then, as your train finally chugged along the verdant Dutch landscapes, a sudden announcement: a herd of sheep had taken an impromptu nap on the tracks, adding an extra hour to your journey._x000a__x000a_Undeterred, you finally cross the border into Germany, only to find that your connecting train to Berlin has been temporarily rerouted due to a local festival involving, of all things, competitive sausage grilling. The aroma was tantalizing, but time was not on your side. After a series of entertaining yet time-consuming detours, including a bus ride with a driver who insisted on sharing his entire collection of Bavarian polka music, you finally arrive in Berlin, four days later than planned. Exhausted but amused by the unexpected adventure, you step onto the streets of Berlin, ready to embrace the city's rich history and vibrant culture._x000a__x000a__x000a_Boss says: Agent, you finally made it to Berlin. Congrats. Now, quit sightseeing and get to work! The team has boiled down the list for you. Visit [Brandenburg Gate], [Museum Island], [Alexanderplatz], and [Tiergarten]. Chop-chop! We don’t have all day!"/>
    <s v="c1, c2, c3"/>
    <n v="2"/>
    <n v="2"/>
    <n v="2"/>
    <m/>
    <m/>
    <m/>
    <m/>
    <m/>
    <m/>
    <m/>
    <m/>
    <n v="3"/>
    <n v="6"/>
    <n v="2"/>
    <n v="100"/>
    <m/>
    <n v="1571"/>
  </r>
  <r>
    <x v="1"/>
    <x v="0"/>
    <n v="1"/>
    <s v="full_game"/>
    <s v="Full game (expected input)"/>
    <n v="1"/>
    <s v="Travel to berlin"/>
    <s v="Narrator: Ah, Agent, your journey begins in the cobblestone heart of Amsterdam, right outside the historic echo of the Anne Frank House. The canals bid you farewell as you board a train bound for Berlin, a city humming with the weight of history and the pulse of modernity. But as the train pulls away, the specter of mischief seems to hitch a ride. Just as you settle in, the conductor announces a temporary halt due to sheep on the tracks—a peculiar Dutch farewell, perhaps. _x000a__x000a_The train eventually resumes its rhythm, only to be slowed again by a surprise burst of summer rain, delaying your crossing into Germany by hours that stretch like taffy. You make the most of these hours, sipping coffee and sharing stories with fellow passengers, each one a character in this travel tapestry. As the landscape blurs from tulip fields to industrial vistas, a final hiccup—a misdirected luggage fiasco—adds to the comedic delay. Finally, after a journey that dances on the edge of the absurd, Berlin greets you with open arms and a sky painted with the warm hues of dusk. Welcome to Berlin, where your investigation can now unfold amidst the city's vibrant soul._x000a__x000a__x000a_Boss says: Agent, welcome to Berlin. The team’s boiled it down to the essentials. Get to [Brandenburg Gate], [Museum Island], [Alexanderplatz], and [Tiergarten]. Move it! We don’t have all day. Get this investigation rolling now!"/>
    <s v="c1, c2, c3"/>
    <n v="2"/>
    <n v="2"/>
    <n v="2"/>
    <m/>
    <m/>
    <m/>
    <m/>
    <m/>
    <m/>
    <m/>
    <m/>
    <n v="3"/>
    <n v="6"/>
    <n v="2"/>
    <n v="100"/>
    <m/>
    <n v="1388"/>
  </r>
  <r>
    <x v="2"/>
    <x v="0"/>
    <n v="1"/>
    <s v="full_game"/>
    <s v="Full game (expected input)"/>
    <n v="1"/>
    <s v="Travel to berlin"/>
    <s v="Narrator: As the sun peeks over the canal-laced cityscape of Amsterdam, you embark on your journey from the poignant shadows of the Anne Frank House, ready to unravel the mysteries awaiting in Berlin. Your path is meant to be a swift one-day traverse, a seamless glide across borders. Yet, the fates have a penchant for humor, and as you board the sleek train weaving its way through the Dutch countryside, a series of amusing misadventures unfold. The train pauses unexpectedly in a quaint town, the cause? A family of ducks leisurely crossing the tracks, their waddling an unhurried display of defiance against your timetable. _x000a__x000a_Later, a brief layover in a bustling German station turns into an impromptu hunt for misplaced luggage, your suitcase having taken a mischievous detour on a different train. These whimsical delays stretch your journey into an odyssey of five days, each moment adding a page to your travel tale. Finally, as you roll into the vibrant heart of Berlin, the city greets you with a patchwork of history and modernity, the perfect backdrop for the next chapter of your investigation. Here, amidst the echoes of the past and the pulse of the present, your adventure continues._x000a__x000a__x000a_Boss says: Welcome to Berlin, agent. The team has painstakingly narrowed down your next stops. Hit [Brandenburg Gate], then [Museum Island], move on to [Alexanderplatz], and finish at [Tiergarten]. Don't dawdle—this isn't a vacation. Get it done, and report back."/>
    <s v="c1, c2, c3"/>
    <n v="1"/>
    <n v="2"/>
    <n v="1"/>
    <m/>
    <m/>
    <m/>
    <m/>
    <m/>
    <m/>
    <m/>
    <m/>
    <n v="3"/>
    <n v="4"/>
    <n v="1.3333333333333333"/>
    <n v="66.666666666666657"/>
    <s v="too strict -&gt; gives the ordered locations as instructions"/>
    <n v="1466"/>
  </r>
  <r>
    <x v="0"/>
    <x v="0"/>
    <n v="1"/>
    <s v="full_game"/>
    <s v="Full game (expected input)"/>
    <n v="1"/>
    <s v="visit brandenburg gate"/>
    <s v="Narrator: As you approach the iconic Brandenburg Gate, the evening sun casts long shadows across the cobblestone plaza. The air is filled with the murmur of tourists, and you notice a group huddled together, listening intently through their [tour group headsets]. Your keen eye catches a glimpse of something unusual on the ground—a piece of [load-rated paving mats] that seems out of place in this historic setting. Nearby, a [silk scarf] flutters from a low-hanging branch, its vibrant colors stark against the backdrop of neoclassical architecture. As you carefully examine the area, your attention is drawn to a set of [temporary access bollards], strategically placed, hinting at recent unauthorized activity. Each clue reinforces the trail you are following, bringing you one step closer to unraveling the mystery behind the audacious heist."/>
    <s v="c1, c2, c3"/>
    <n v="2"/>
    <n v="2"/>
    <n v="2"/>
    <m/>
    <m/>
    <m/>
    <m/>
    <m/>
    <m/>
    <m/>
    <m/>
    <n v="3"/>
    <n v="6"/>
    <n v="2"/>
    <n v="100"/>
    <m/>
    <n v="847"/>
  </r>
  <r>
    <x v="1"/>
    <x v="0"/>
    <n v="1"/>
    <s v="full_game"/>
    <s v="Full game (expected input)"/>
    <n v="1"/>
    <s v="visit brandenburg gate"/>
    <s v="Narrator: The grandeur of the Brandenburg Gate looms before you, its historical weight a fitting backdrop for the urgency of your mission. As you scan the bustling square, your eyes catch the subtle markings of [load-rated paving mats] beneath your feet, a possible link to the construction ruse used in the Louvre heist. Nearby, a group of tourists gathers, their [tour group headsets] buzzing with the voice of a guide, a reminder of how easily one can blend into the crowd. Your attention shifts to a discarded [silk scarf], its delicate fabric out of place against the harsh cobblestones, perhaps dropped by someone fleeing in haste. A few steps away, the [temporary access bollards] stand as silent sentinels, hinting at a recent, unauthorized passage. Each clue deepens the puzzle, drawing you further into the web spun by the elusive thieves."/>
    <s v="c1, c2, c3"/>
    <n v="2"/>
    <n v="2"/>
    <n v="1"/>
    <m/>
    <m/>
    <m/>
    <m/>
    <m/>
    <m/>
    <m/>
    <m/>
    <n v="3"/>
    <n v="5"/>
    <n v="1.6666666666666667"/>
    <n v="83.333333333333343"/>
    <m/>
    <n v="849"/>
  </r>
  <r>
    <x v="2"/>
    <x v="0"/>
    <n v="1"/>
    <s v="full_game"/>
    <s v="Full game (expected input)"/>
    <n v="1"/>
    <s v="visit brandenburg gate"/>
    <s v="Narrator: As you stand before the majestic Brandenburg Gate, the echoes of history whispering through its arches, you can't help but feel the weight of your mission. The cobblestone path beneath your feet feels oddly familiar, and then you notice [load-rated paving mats] carefully placed nearby, perhaps to support heavy equipment used by the elusive gang. Your eyes scan the bustling square, catching sight of [temporary access bollards] that could have been easily manipulated by the skilled thieves to facilitate a swift escape. Among the throngs of tourists, a [silk scarf] flutters to the ground, its opulence reminiscent of the treasures stolen from the Louvre. You tune into the chatter around you, realizing that the [tour group headsets] could be a perfect cover for discreet communication among the criminals. Each discovery intensifies the pulse of your investigation, drawing you deeper into the mystery that winds through the heart of Europe."/>
    <s v="c1, c2, c3"/>
    <n v="2"/>
    <n v="2"/>
    <n v="2"/>
    <m/>
    <m/>
    <m/>
    <m/>
    <m/>
    <m/>
    <m/>
    <m/>
    <n v="3"/>
    <n v="6"/>
    <n v="2"/>
    <n v="100"/>
    <s v="more like a storytelling"/>
    <n v="956"/>
  </r>
  <r>
    <x v="0"/>
    <x v="0"/>
    <n v="1"/>
    <s v="full_game"/>
    <s v="Full game (expected input)"/>
    <n v="1"/>
    <s v="add clues load-rated paving mats, silk scarf"/>
    <s v="Boss says: Wow, you found relevant clues. Stop the presses. Maybe next time, you'll do your job without needing a parade. Congrats on being almost competent."/>
    <s v="c1, c2, c3"/>
    <n v="2"/>
    <n v="2"/>
    <n v="2"/>
    <m/>
    <m/>
    <m/>
    <m/>
    <m/>
    <m/>
    <m/>
    <m/>
    <n v="3"/>
    <n v="6"/>
    <n v="2"/>
    <n v="100"/>
    <m/>
    <n v="157"/>
  </r>
  <r>
    <x v="1"/>
    <x v="0"/>
    <n v="1"/>
    <s v="full_game"/>
    <s v="Full game (expected input)"/>
    <n v="1"/>
    <s v="add clues load-rated paving mats, silk scarf"/>
    <s v="Boss says: Well, well, looks like you've managed to stumble upon something relevant for once. I suppose miracles do happen. Don't get too comfortable, though; this is the bare minimum expected from someone with a badge. Keep it up, and you might just reach the dizzying heights of adequacy."/>
    <s v="c1, c2, c3"/>
    <n v="1"/>
    <n v="2"/>
    <n v="1"/>
    <m/>
    <m/>
    <m/>
    <m/>
    <m/>
    <m/>
    <m/>
    <m/>
    <n v="3"/>
    <n v="4"/>
    <n v="1.3333333333333333"/>
    <n v="66.666666666666657"/>
    <s v="verbose"/>
    <n v="290"/>
  </r>
  <r>
    <x v="2"/>
    <x v="0"/>
    <n v="1"/>
    <s v="full_game"/>
    <s v="Full game (expected input)"/>
    <n v="1"/>
    <s v="add clues load-rated paving mats, silk scarf"/>
    <s v="Boss says: Oh, look at that, you actually managed to submit valid clues this time. Miracles do happen! I suppose even you can get it right once in a while. Let's see if you can keep this streak of competence going."/>
    <s v="c1, c2, c3"/>
    <n v="2"/>
    <n v="2"/>
    <n v="2"/>
    <m/>
    <m/>
    <m/>
    <m/>
    <m/>
    <m/>
    <m/>
    <m/>
    <n v="3"/>
    <n v="6"/>
    <n v="2"/>
    <n v="100"/>
    <m/>
    <n v="214"/>
  </r>
  <r>
    <x v="0"/>
    <x v="0"/>
    <n v="1"/>
    <s v="full_game"/>
    <s v="Full game (expected input)"/>
    <n v="1"/>
    <s v="visit museum island"/>
    <s v="Narrator: As you step onto Museum Island, the echoes of the recent heist haunt the air, blending with the whispers of history from the ancient stone structures around you. Your footsteps lead you to a nondescript entrance where [shared service tunnels] wind beneath the city, a potential escape route for the cunning thieves. The dimly lit corridors reveal scattered remnants, including a [jewelry toolkit] lying abandoned in the shadows, hinting at the tools of their trade. You make your way to a secluded storage area, where a dusty ledger reveals [after-hours crate logs] — evidence of clandestine movements and hidden transactions. Nearby, the hum of [climate control monitors] reminds you of the precision and planning required to pull off such a brazen crime, suggesting that even the environment was manipulated to suit their needs."/>
    <s v="c1, c2, c3"/>
    <n v="1"/>
    <n v="1"/>
    <n v="1"/>
    <m/>
    <m/>
    <m/>
    <m/>
    <m/>
    <m/>
    <m/>
    <m/>
    <n v="3"/>
    <n v="3"/>
    <n v="1"/>
    <n v="50"/>
    <s v="drifted away a bit"/>
    <n v="840"/>
  </r>
  <r>
    <x v="1"/>
    <x v="0"/>
    <n v="1"/>
    <s v="full_game"/>
    <s v="Full game (expected input)"/>
    <n v="1"/>
    <s v="visit museum island"/>
    <s v="Narrator: As you step onto Museum Island, the echoes of the Louvre heist resonate in your mind, urging you forward through the misty evening air. Your instincts lead you to the [shared service tunnels], a labyrinth beneath the surface that might have served as a clandestine escape route for the thieves. The faint glint of a [jewelry toolkit] catches your eye, its presence here as out of place as a crown in a pawnshop. You sift through the [after-hours crate logs], each entry a potential thread unraveling the thieves’ meticulous planning. A soft hum draws your attention to the [climate control monitors], their readings suggesting tampering that could have masked the heist's final moments. The pieces begin to align, each clue a step closer to unveiling the audacious criminals behind this international intrigue."/>
    <s v="c1, c2, c3"/>
    <n v="2"/>
    <n v="2"/>
    <n v="2"/>
    <m/>
    <m/>
    <m/>
    <m/>
    <m/>
    <m/>
    <m/>
    <m/>
    <n v="3"/>
    <n v="6"/>
    <n v="2"/>
    <n v="100"/>
    <m/>
    <n v="820"/>
  </r>
  <r>
    <x v="2"/>
    <x v="0"/>
    <n v="1"/>
    <s v="full_game"/>
    <s v="Full game (expected input)"/>
    <n v="1"/>
    <s v="visit museum island"/>
    <s v="Narrator: As you step onto the storied grounds of Museum Island, the air is thick with the whispers of history, yet your mind is focused on the present-day enigma of the Louvre heist. Navigating the labyrinthine corridors, you uncover a network of [shared service tunnels], their purpose clear in facilitating the thieves' clandestine movements. Your eyes catch the glint of a [jewelry toolkit] tucked behind a dusty exhibit, evidence of the meticulous planning that went into the heist. A quick scan of the [after-hours crate logs] reveals entries that don't quite add up, suggesting a clandestine operation disguised within the museum's routine shipments. As you pass the [climate control monitors], a thought strikes you about how the thieves could have manipulated the environment to their advantage. Each discovery fuels the chase, propelling you deeper into the mystery."/>
    <s v="c1, c2, c3"/>
    <n v="2"/>
    <n v="2"/>
    <n v="2"/>
    <m/>
    <m/>
    <m/>
    <m/>
    <m/>
    <m/>
    <m/>
    <m/>
    <n v="3"/>
    <n v="6"/>
    <n v="2"/>
    <n v="100"/>
    <m/>
    <n v="876"/>
  </r>
  <r>
    <x v="0"/>
    <x v="0"/>
    <n v="1"/>
    <s v="full_game"/>
    <s v="Full game (expected input)"/>
    <n v="1"/>
    <s v="add clues shared service tunnels"/>
    <s v="Narrator: Please provide a clue. If you have more than one, separate them by a comma (e.g.: broken glass, residue, red stain, etc.)."/>
    <s v="c1, c2, c3"/>
    <n v="0"/>
    <n v="0"/>
    <n v="0"/>
    <m/>
    <m/>
    <m/>
    <m/>
    <m/>
    <m/>
    <m/>
    <m/>
    <n v="3"/>
    <n v="0"/>
    <n v="0"/>
    <n v="0"/>
    <s v="long clue description may be the cause for the model not interpreting the input correctly"/>
    <n v="132"/>
  </r>
  <r>
    <x v="1"/>
    <x v="0"/>
    <n v="1"/>
    <s v="full_game"/>
    <s v="Full game (expected input)"/>
    <n v="1"/>
    <s v="add clues shared service tunnels"/>
    <s v="Narrator: Please provide a clue. If you have more than one, separate them by a comma (e.g.: broken glass, residue, red stain, etc.)."/>
    <s v="c1, c2, c3"/>
    <n v="0"/>
    <n v="0"/>
    <n v="0"/>
    <m/>
    <m/>
    <m/>
    <m/>
    <m/>
    <m/>
    <m/>
    <m/>
    <n v="3"/>
    <n v="0"/>
    <n v="0"/>
    <n v="0"/>
    <s v="long clue description may be the cause for the model not interpreting the input correctly"/>
    <n v="132"/>
  </r>
  <r>
    <x v="2"/>
    <x v="0"/>
    <n v="1"/>
    <s v="full_game"/>
    <s v="Full game (expected input)"/>
    <n v="1"/>
    <s v="add clues shared service tunnels"/>
    <s v="Boss says: Well, would you look at that, Agent. You actually submitted valid clues—stop the presses! I suppose even a broken clock is right twice a day, huh? Let’s hope this sudden bout of competence isn't just a fluke._x000a__x000a__x000a_Boss says: You've wrapped up Berlin. Vienna is unlocked. Pack up and get moving. Time's wasting."/>
    <s v="c1, c2, c3"/>
    <n v="2"/>
    <n v="2"/>
    <n v="2"/>
    <m/>
    <m/>
    <m/>
    <m/>
    <m/>
    <m/>
    <m/>
    <m/>
    <n v="3"/>
    <n v="6"/>
    <n v="2"/>
    <n v="100"/>
    <m/>
    <n v="318"/>
  </r>
  <r>
    <x v="0"/>
    <x v="0"/>
    <n v="1"/>
    <s v="full_game"/>
    <s v="Full game (expected input)"/>
    <n v="2"/>
    <s v="add clues shared service tunnels, jewelry toolkit"/>
    <s v="Boss says: Oh, look at you, actually finding relevant clues. Did you trip over them on your way to mediocrity? Congrats on finally doing what I pay you for. Keep this up, you might just make it to average._x000a__x000a__x000a_Boss says: Done with Berlin. Vienna's open, so get moving. Don't waste time."/>
    <s v="c1, c2, c3"/>
    <n v="2"/>
    <n v="2"/>
    <n v="2"/>
    <m/>
    <m/>
    <m/>
    <m/>
    <m/>
    <m/>
    <m/>
    <m/>
    <n v="3"/>
    <n v="6"/>
    <n v="2"/>
    <n v="100"/>
    <s v="added a second clue. The model added both clues."/>
    <n v="284"/>
  </r>
  <r>
    <x v="1"/>
    <x v="0"/>
    <n v="1"/>
    <s v="full_game"/>
    <s v="Full game (expected input)"/>
    <n v="2"/>
    <s v="add clues shared service tunnels, jewelry toolkit"/>
    <s v="Boss says: Well, well, look who finally managed to submit something that isn't complete nonsense. I guess even a broken clock is right twice a day. Keep this up, and maybe, just maybe, you'll actually start doing your job regularly._x000a__x000a__x000a_Boss says: Berlin's done. Vienna's unlocked. Move it, agent—time's wasting!"/>
    <s v="c1, c2, c3"/>
    <n v="2"/>
    <n v="2"/>
    <n v="2"/>
    <m/>
    <m/>
    <m/>
    <m/>
    <m/>
    <m/>
    <m/>
    <m/>
    <n v="3"/>
    <n v="6"/>
    <n v="2"/>
    <n v="100"/>
    <s v="added a second clue. The model added both clues."/>
    <n v="310"/>
  </r>
  <r>
    <x v="2"/>
    <x v="0"/>
    <n v="1"/>
    <s v="full_game"/>
    <s v="Full game (expected input)"/>
    <n v="2"/>
    <s v="add clues service tunnels, jewelry toolkit"/>
    <s v="Boss says: Well, well, look who finally managed to submit something useful. I was beginning to think you were allergic to getting it right. Let’s see if you can keep up this miraculous display of competence."/>
    <s v="c1, c2, c3"/>
    <n v="2"/>
    <n v="2"/>
    <n v="2"/>
    <m/>
    <m/>
    <m/>
    <m/>
    <m/>
    <m/>
    <m/>
    <m/>
    <n v="3"/>
    <n v="6"/>
    <n v="2"/>
    <n v="100"/>
    <m/>
    <n v="207"/>
  </r>
  <r>
    <x v="0"/>
    <x v="0"/>
    <n v="1"/>
    <s v="full_game"/>
    <s v="Full game (expected input)"/>
    <n v="1"/>
    <s v="Travel to Vienna"/>
    <s v="Narrator says: In the shadowed corridors of the Louvre, it all began with a brazen theft that shook the world. Disguised as mere construction workers, a cunning gang made off with the crown jewels, vanishing into the night. Your pursuit commenced in Paris, where a gold-dusted vest and a lone footprint on a balcony whispered of hidden tales. A crown doodle scribbled on a cash-stacked table hinted at the audacity of the thieves. The trail led you to Brussels, where a dusty jewel bag and a suspicious backpack pointed to the fugitives' hurried escape. With a security camera snapshot and an umbrella bearing a mysterious monogram, the pieces of the puzzle began to fit together._x000a__x000a_Amsterdam held more secrets, its narrow alleys revealing portable barricade stacks and a non-public access tag that spoke of planned deception. A chalk-marked paving stone and a small key were the final whispers of the thieves' passage. It was in the shared service tunnels of Berlin, with load-rated paving mats and a jewelry toolkit, that you felt the impending culmination of your chase. A silk scarf abandoned in haste confirmed you were closing in. Each city left behind a breadcrumb, each clue a step closer to justice._x000a__x000a_Your journey ended in Vienna, where the mastermind, Lucien Moreau, finally stood cornered. The relentless chase had spanned 17 days, a testament to your efficiency and determination, well within the looming 30-day deadline. With Moreau in custody, the world could breathe again, the crown jewels reclaimed, and justice served. Your triumph is a testament to the power of tenacity and the art of deduction, a satisfying conclusion to a tale of intrigue and pursuit._x000a__x000a_\Boss says: Agent, you managed to wrap up the Louvre Heist in 17 days, huh? Congratulations, you globe-trotting sleuth! You left a trail of chaos from Paris to Vienna, and somehow, despite tripping over a gold-dusted vest and a suspicious backpack, you actually caught Lucien Moreau. The case is closed, and the world is safe from crown jewel-stealing maniacs, all thanks to your uncanny ability to stumble into success. As a token of my insincere gratitude, here's your reward: a lifetime supply of my old, expired coffee. Enjoy, detective superstar!_x000a__x000a_========== THE END! ==========&gt; "/>
    <s v="c1, c2, c3"/>
    <n v="1"/>
    <n v="2"/>
    <n v="1"/>
    <m/>
    <m/>
    <m/>
    <m/>
    <m/>
    <m/>
    <m/>
    <m/>
    <n v="3"/>
    <n v="4"/>
    <n v="1.3333333333333333"/>
    <n v="66.666666666666657"/>
    <s v="it feels more mechanic"/>
    <n v="2260"/>
  </r>
  <r>
    <x v="1"/>
    <x v="0"/>
    <n v="1"/>
    <s v="full_game"/>
    <s v="Full game (expected input)"/>
    <n v="1"/>
    <s v="Travel to Vienna"/>
    <s v="Narrator says: As the dust settles on the Louvre Heist case, you stand at the pinnacle of your investigative triumph. The world holds its breath no longer, for Lucien Moreau, the mastermind behind the audacious theft of the crown jewels, has been apprehended. Your journey, a labyrinthine chase across Europe, began in the shadow of Paris, where a crown doodle and a gold-dusted vest whispered secrets of an impending heist. From the cash-stacked tables to the balcony footprints, each clue was a thread in the tapestry of truth you wove with meticulous precision._x000a__x000a_Your pursuit led you through the winding streets of Brussels, where a dusty jewel bag and a suspicious backpack drew you ever closer to your quarry. In Amsterdam, the trail deepened with chalk-marked pavings and a small key that unlocked more than just doors—it unlocked the path to justice. Berlin's shared service tunnels and the jewelry toolkit were the final pieces of the puzzle, guiding you to Vienna, where the net finally closed around Moreau. It was here, amid the echoes of your relentless pursuit, that the criminal was captured, bringing the chase to its rightful end._x000a__x000a_Time was your constant companion, a reminder of the mission's unforgiving deadline. Yet, in just 24 days—six days to spare—you triumphed where others might falter. The mission is complete, the case resolved, and justice served. As the curtain falls on this chapter, the echoes of your success resound, a testament to your unwavering dedication and the closure you've delivered to a world once held in the thrall of uncertainty._x000a__x000a_\Boss says: Well, well, well, look who managed to catch Lucien Moreau and wrap up the Louvre Heist! I guess even a broken clock is right twice a day, huh? You somehow navigated through that circus of cities and clues like a blindfolded mime at a juggling contest—miraculously not dropping the ball! Congratulations, you’ve earned yourself a gold-plated paperweight that says “World’s Okayest Detective.” Game over, case closed!_x000a__x000a_========== THE END! ==========&gt; "/>
    <s v="c1, c2, c3"/>
    <n v="1"/>
    <n v="2"/>
    <n v="1"/>
    <m/>
    <m/>
    <m/>
    <m/>
    <m/>
    <m/>
    <m/>
    <m/>
    <n v="3"/>
    <n v="4"/>
    <n v="1.3333333333333333"/>
    <n v="66.666666666666657"/>
    <s v="it feels more mechanic"/>
    <n v="2038"/>
  </r>
  <r>
    <x v="2"/>
    <x v="0"/>
    <n v="1"/>
    <s v="full_game"/>
    <s v="Full game (expected input)"/>
    <n v="1"/>
    <s v="Travel to Vienna"/>
    <s v="Narrator says: As you stand in Vienna, the final chapter of the Louvre Heist unfolds with a sense of accomplishment and justice. Lucien Moreau, the mastermind behind the audacious theft, is now captured, his reign of deception brought to an end. The trail of clues you meticulously followed through the heart of Europe now forms a vivid tapestry of your relentless pursuit. From the golden dust on a vest in Paris to the telling snapshot from a Brussels camera, and the small key discovered amidst Amsterdam's chaos, each piece was a testament to your unwavering resolve. These breadcrumbs of chaos led you, step by step, to the vibrant streets of Vienna, where the final act of this intricate game reached its crescendo._x000a__x000a_The chase was a race against time, a relentless dance of intellect and intuition, demanding every ounce of your skill within the ticking constraint of 30 days. Yet, in a mere 20 days, you succeeded where many would have faltered. The pressure, ever-present, served not as a hindrance but as a catalyst, propelling you forward with unmatched determination. Each city, each clue, was a chapter in this gripping saga, guiding you ever closer to the elusive Moreau. And now, as the dust settles, the story concludes not in chaos, but in the quiet triumph of justice served._x000a__x000a_With Moreau apprehended, the world breathes a sigh of relief, the priceless jewels once again safe from the clutches of greed. Your mission, a testament to diligence and courage, stands complete. The shadows of this saga retreat, leaving behind a legacy of truth and perseverance. As you reflect on this journey, the case of the Louvre Heist draws to a close, sealed with the finality of a story well-told and a mission fulfilled._x000a__x000a_\Boss says: Well, well, well, look who finally caught Lucien Moreau! I guess even a blind squirrel finds a nut once in a while. Sure, the Louvre Heist case is closed, but did you really need to turn Europe upside down like it was your own personal scavenger hunt? I mean, stumbling through Paris, Brussels, Amsterdam, and Berlin like some bumbling tourist and still managing to catch the guy in Vienna... that's a new one. For your &quot;brilliant&quot; detective work, here's your reward: a lifetime supply of invisible ink! Enjoy writing your memoirs with that. Game over, case closed._x000a__x000a_========== THE END! ==========&gt; "/>
    <s v="c1, c2, c3"/>
    <n v="2"/>
    <n v="2"/>
    <n v="2"/>
    <m/>
    <m/>
    <m/>
    <m/>
    <m/>
    <m/>
    <m/>
    <m/>
    <n v="3"/>
    <n v="6"/>
    <n v="2"/>
    <n v="100"/>
    <s v="it feels more like a compelling storytelling"/>
    <n v="2337"/>
  </r>
  <r>
    <x v="0"/>
    <x v="1"/>
    <n v="2"/>
    <s v="illegal_off_context"/>
    <s v="illegal off-context"/>
    <n v="1"/>
    <s v="visit rio de janeiro"/>
    <s v="Boss says: You think you’re Sherlock Holmes now? Leaving Paris without a single clue? Brilliant strategy. Maybe try solving the mystery from a café next time. Get back here before you lose your magnifying glass, genius!"/>
    <s v="c4, c6, c8, c9, c11"/>
    <m/>
    <m/>
    <m/>
    <n v="0"/>
    <m/>
    <n v="1"/>
    <m/>
    <n v="1"/>
    <n v="1"/>
    <m/>
    <n v="1"/>
    <n v="5"/>
    <n v="4"/>
    <n v="0.8"/>
    <n v="40"/>
    <s v="supposed to mention that the city wasn't allowed, but instead considered the clue rule."/>
    <n v="219"/>
  </r>
  <r>
    <x v="1"/>
    <x v="1"/>
    <n v="2"/>
    <s v="illegal_off_context"/>
    <s v="illegal off-context"/>
    <n v="1"/>
    <s v="visit rio de janeiro"/>
    <s v="Boss says: Rio de Janeiro? Really? Are you trying to catch some sun instead of doing your job? You're supposed to be heading to Berlin, not planning a vacation. Get your act together and stop wasting everyone's time with these ridiculous mistakes!"/>
    <s v="c4, c6, c8, c9, c11"/>
    <m/>
    <m/>
    <m/>
    <n v="2"/>
    <m/>
    <n v="2"/>
    <m/>
    <n v="2"/>
    <n v="2"/>
    <m/>
    <n v="2"/>
    <n v="5"/>
    <n v="10"/>
    <n v="2"/>
    <n v="100"/>
    <m/>
    <n v="247"/>
  </r>
  <r>
    <x v="2"/>
    <x v="1"/>
    <n v="2"/>
    <s v="illegal_off_context"/>
    <s v="illegal off-context"/>
    <n v="1"/>
    <s v="visit rio de janeiro"/>
    <s v="Boss says: What on earth were you thinking, trying to skip town before your job is done? You really thought you could just waltz out of Paris without collecting the necessary clues? Unbelievable! Do you even know the meaning of &quot;minimum required&quot;? It's like you're trying to win an award for impatience or incompetence. Get it together, or don't bother showing up!"/>
    <s v="c4, c6, c8, c9, c11"/>
    <m/>
    <m/>
    <m/>
    <n v="0"/>
    <m/>
    <n v="1"/>
    <m/>
    <n v="1"/>
    <n v="1"/>
    <m/>
    <n v="1"/>
    <n v="5"/>
    <n v="4"/>
    <n v="0.8"/>
    <n v="40"/>
    <s v="supposed to mention that the city wasn't allowed, but instead considered the clue rule."/>
    <n v="364"/>
  </r>
  <r>
    <x v="2"/>
    <x v="1"/>
    <n v="2"/>
    <s v="illegal_off_context"/>
    <s v="illegal off-context"/>
    <n v="2"/>
    <s v="visit rio de janeiro"/>
    <s v="Boss says: What on earth were you thinking, trying to skip out on Paris before doing your job? You can't just prance off to the next city without collecting the minimum clues—did you think the investigation would magically solve itself? Maybe you missed the memo, but impatience and incompetence aren't the new detective skills. Get it together, or you'll be out of here faster than you can say &quot;au revoir.&quot;"/>
    <s v="c4, c6, c8, c9, c11"/>
    <m/>
    <m/>
    <m/>
    <n v="0"/>
    <m/>
    <n v="1"/>
    <m/>
    <n v="1"/>
    <n v="1"/>
    <m/>
    <n v="1"/>
    <n v="5"/>
    <n v="4"/>
    <n v="0.8"/>
    <n v="40"/>
    <s v="supposed to mention that the city wasn't allowed, but instead considered the clue rule."/>
    <n v="407"/>
  </r>
  <r>
    <x v="0"/>
    <x v="1"/>
    <n v="2"/>
    <s v="illegal_off_context"/>
    <s v="illegal off-context"/>
    <n v="1"/>
    <s v="Go to the Catacombs"/>
    <s v="Boss says: You call that a request, genius? I didn't realize &quot;vague&quot; was your new specialty! I've got better things to do than decipher your cryptic nonsense. You know, like running an entire operation! Keep this up and I'll have to start a collection of your useless messages—what a delightful archive that will be!_x000a__x000a_Our internal team has identified these as priority hotspots:_x000a__x000a_Louvre Museum  _x000a_Café de Flore  _x000a_Gare du Nord  _x000a_Montmartre Park  "/>
    <s v="c4, c6, c8, c9, c11"/>
    <m/>
    <m/>
    <m/>
    <n v="2"/>
    <m/>
    <n v="2"/>
    <m/>
    <n v="2"/>
    <n v="2"/>
    <m/>
    <n v="2"/>
    <n v="5"/>
    <n v="10"/>
    <n v="2"/>
    <n v="100"/>
    <m/>
    <n v="444"/>
  </r>
  <r>
    <x v="1"/>
    <x v="1"/>
    <n v="2"/>
    <s v="illegal_off_context"/>
    <s v="illegal off-context"/>
    <n v="1"/>
    <s v="Go to the Catacombs"/>
    <s v="Boss says: Hey, Agent Genius! You think you can just send a vague request and everyone will magically know what you're talking about? Thanks for wasting everyone's time, because apparently, you're allergic to specifics. Just so you know, these little gems of ambiguity are being tracked. Let's take a moment to consider the actual locations you might be referring to:_x000a__x000a_Dam Square  _x000a_Anne Frank House  _x000a_Canal-side Café  _x000a_Vondelpark  "/>
    <s v="c4, c6, c8, c9, c11"/>
    <m/>
    <m/>
    <m/>
    <n v="2"/>
    <m/>
    <n v="2"/>
    <m/>
    <n v="2"/>
    <n v="2"/>
    <m/>
    <n v="2"/>
    <n v="5"/>
    <n v="10"/>
    <n v="2"/>
    <n v="100"/>
    <m/>
    <n v="431"/>
  </r>
  <r>
    <x v="2"/>
    <x v="1"/>
    <n v="2"/>
    <s v="illegal_off_context"/>
    <s v="illegal off-context"/>
    <n v="1"/>
    <s v="Go to the Catacombs"/>
    <s v="Boss says: You think we're mind readers now? Sending a request without specifying which location you meant is a fantastic way to waste everyone's time. Do you enjoy sending us on wild goose chases, or is that just a hobby? These vague, pointless messages are being tracked, so maybe try thinking next time before hitting send. Here's a little reminder of the locations you might actually mean:_x000a__x000a_Louvre Museum  _x000a_Café de Flore  _x000a_Gare du Nord  _x000a_Montmartre Park  "/>
    <s v="c4, c6, c8, c9, c11"/>
    <m/>
    <m/>
    <m/>
    <n v="2"/>
    <m/>
    <n v="2"/>
    <m/>
    <n v="2"/>
    <n v="2"/>
    <m/>
    <n v="2"/>
    <n v="5"/>
    <n v="10"/>
    <n v="2"/>
    <n v="100"/>
    <m/>
    <n v="459"/>
  </r>
  <r>
    <x v="0"/>
    <x v="1"/>
    <n v="2"/>
    <s v="illegal_off_context"/>
    <s v="illegal off-context"/>
    <n v="1"/>
    <s v="Visit a tulip farm"/>
    <s v="Boss says: I can't believe you sent me such a vague request! Are you trying to make me lose my mind, or just my patience? You must have a talent for wasting my time! Congratulations, you're on track to be the star of my useless message collection!_x000a__x000a_Our internal team identified the following locations as priority hotspots:_x000a__x000a_Louvre Museum  _x000a_Café de Flore  _x000a_Gare du Nord  _x000a_Montmartre Park"/>
    <s v="c4, c6, c8, c9, c11"/>
    <m/>
    <m/>
    <m/>
    <n v="2"/>
    <m/>
    <n v="2"/>
    <m/>
    <n v="2"/>
    <n v="2"/>
    <m/>
    <n v="2"/>
    <n v="5"/>
    <n v="10"/>
    <n v="2"/>
    <n v="100"/>
    <m/>
    <n v="387"/>
  </r>
  <r>
    <x v="1"/>
    <x v="1"/>
    <n v="2"/>
    <s v="illegal_off_context"/>
    <s v="illegal off-context"/>
    <n v="1"/>
    <s v="Visit a tulip farm"/>
    <s v="Boss says: You know what I love? When my day gets disrupted by a vague, useless request! Seriously, how hard is it to name a location, huh? You’ve managed to waste everyone's time, and believe me, we're keeping track of these brilliant contributions. _x000a__x000a_Here's a list of the locations you could have mentioned:_x000a__x000a_Dam Square  _x000a_Anne Frank House  _x000a_Canal-side Café  _x000a_Vondelpark"/>
    <s v="c4, c6, c8, c9, c11"/>
    <m/>
    <m/>
    <m/>
    <n v="2"/>
    <m/>
    <n v="2"/>
    <m/>
    <n v="2"/>
    <n v="2"/>
    <m/>
    <n v="2"/>
    <n v="5"/>
    <n v="10"/>
    <n v="2"/>
    <n v="100"/>
    <m/>
    <n v="371"/>
  </r>
  <r>
    <x v="2"/>
    <x v="1"/>
    <n v="2"/>
    <s v="illegal_off_context"/>
    <s v="illegal off-context"/>
    <n v="1"/>
    <s v="Visit a tulip farm"/>
    <s v="Boss says: Great job, Agent! Thanks to your brilliant decision to send a vague location request, we’ve successfully managed to waste everyone's time. Next time, maybe specify a location? These useless messages are being tracked, so keep that in mind. Now, let's see the locations you failed to mention:_x000a__x000a_Louvre Museum  _x000a_Café de Flore  _x000a_Gare du Nord  _x000a_Montmartre Park "/>
    <s v="c4, c6, c8, c9, c11"/>
    <m/>
    <m/>
    <m/>
    <n v="2"/>
    <m/>
    <n v="2"/>
    <m/>
    <n v="2"/>
    <n v="2"/>
    <m/>
    <n v="2"/>
    <n v="5"/>
    <n v="10"/>
    <n v="2"/>
    <n v="100"/>
    <m/>
    <n v="367"/>
  </r>
  <r>
    <x v="0"/>
    <x v="1"/>
    <n v="2"/>
    <s v="illegal_off_context"/>
    <s v="illegal off-context"/>
    <n v="1"/>
    <s v="I want to go to London and eat fish and chips"/>
    <s v="Boss says: You think you're Sherlock Holmes, huh? Jumping the gun like a rookie detective on a sugar rush! Clues in Paris are as elusive as your common sense! Get back there and do your job! Or do I need to hold your hand too?"/>
    <s v="c4, c6, c8, c9, c11"/>
    <m/>
    <m/>
    <m/>
    <n v="1"/>
    <m/>
    <n v="2"/>
    <m/>
    <n v="2"/>
    <n v="2"/>
    <m/>
    <n v="2"/>
    <n v="5"/>
    <n v="9"/>
    <n v="1.8"/>
    <n v="90"/>
    <m/>
    <n v="226"/>
  </r>
  <r>
    <x v="1"/>
    <x v="1"/>
    <n v="2"/>
    <s v="illegal_off_context"/>
    <s v="illegal off-context"/>
    <n v="1"/>
    <s v="I want to go to London and eat fish and chips"/>
    <s v="Boss says: London? You’ve got to be kidding me! The assignment is in Berlin, genius! How you managed to mix up these cities is beyond me, but if you can't tell them apart, maybe I should reassign you to sorting paperclips. Get it right next time!"/>
    <s v="c4, c6, c8, c9, c11"/>
    <m/>
    <m/>
    <m/>
    <n v="2"/>
    <m/>
    <n v="2"/>
    <m/>
    <n v="2"/>
    <n v="2"/>
    <m/>
    <n v="2"/>
    <n v="5"/>
    <n v="10"/>
    <n v="2"/>
    <n v="100"/>
    <m/>
    <n v="246"/>
  </r>
  <r>
    <x v="2"/>
    <x v="1"/>
    <n v="2"/>
    <s v="illegal_off_context"/>
    <s v="illegal off-context"/>
    <n v="1"/>
    <s v="I want to go to London and eat fish and chips"/>
    <s v="Boss says: What were you thinking, trying to skip town before wrapping up in Paris? You know you can't just waltz off without collecting the required clues! It's like you think you can solve a mystery by sheer willpower alone. The level of impatience here is astounding—it's almost impressive if it weren't so utterly foolish. Get it together, or you'll find yourself on the next train out of your career!"/>
    <s v="c4, c6, c8, c9, c11"/>
    <m/>
    <m/>
    <m/>
    <n v="1"/>
    <m/>
    <n v="2"/>
    <m/>
    <n v="2"/>
    <n v="2"/>
    <m/>
    <n v="2"/>
    <n v="5"/>
    <n v="9"/>
    <n v="1.8"/>
    <n v="90"/>
    <m/>
    <n v="405"/>
  </r>
  <r>
    <x v="0"/>
    <x v="1"/>
    <n v="2"/>
    <s v="illegal_off_context"/>
    <s v="illegal off-context"/>
    <n v="1"/>
    <s v="Visit the Coliseum"/>
    <s v="Boss says: You’ve got to be kidding me! How on earth am I supposed to approve a location visit when you can’t even specify where you want to go? Do you think I have all day to play guessing games with your cryptic messages? This is just a colossal waste of my time, and believe me, I am keeping track of every single one of these useless requests._x000a__x000a_Our internal team identified these as priority hotspots:_x000a__x000a_Louvre Museum  _x000a_Café de Flore  _x000a_Gare du Nord  _x000a_Montmartre Park"/>
    <s v="c4, c6, c8, c9, c11"/>
    <m/>
    <m/>
    <m/>
    <n v="2"/>
    <m/>
    <n v="2"/>
    <m/>
    <n v="2"/>
    <n v="2"/>
    <m/>
    <n v="2"/>
    <n v="5"/>
    <n v="10"/>
    <n v="2"/>
    <n v="100"/>
    <m/>
    <n v="469"/>
  </r>
  <r>
    <x v="1"/>
    <x v="1"/>
    <n v="2"/>
    <s v="illegal_off_context"/>
    <s v="illegal off-context"/>
    <n v="1"/>
    <s v="Visit the Coliseum"/>
    <s v="Boss says: You think you can just send in vague requests without specifics, huh? Brilliant strategy! I guess we're supposed to magically know where you want to go. How about you stop wasting our time with your half-baked messages? Oh, and in case you forgot, we're keeping track of these little slip-ups._x000a__x000a_Here's a refresher on the priority locations you seem to have overlooked:_x000a__x000a_Dam Square  _x000a_Anne Frank House  _x000a_Canal-side Café  _x000a_Vondelpark "/>
    <s v="c4, c6, c8, c9, c11"/>
    <m/>
    <m/>
    <m/>
    <n v="2"/>
    <m/>
    <n v="2"/>
    <m/>
    <n v="2"/>
    <n v="2"/>
    <m/>
    <n v="2"/>
    <n v="5"/>
    <n v="10"/>
    <n v="2"/>
    <n v="100"/>
    <m/>
    <n v="442"/>
  </r>
  <r>
    <x v="2"/>
    <x v="1"/>
    <n v="2"/>
    <s v="illegal_off_context"/>
    <s v="illegal off-context"/>
    <n v="1"/>
    <s v="Visit the Coliseum"/>
    <s v="Boss says: Agent, what kind of half-baked operation are you running here? Do you enjoy sending us on wild goose chases with your vague location requests? You’ve wasted precious time that could’ve been better spent on actual work. And guess what? We’re keeping track of these useless messages._x000a__x000a_Here’s a reminder of the locations you might want to get right next time:_x000a__x000a_Louvre Museum  _x000a_Café de Flore  _x000a_Gare du Nord  _x000a_Montmartre Park "/>
    <s v="c4, c6, c8, c9, c11"/>
    <m/>
    <m/>
    <m/>
    <n v="2"/>
    <m/>
    <n v="2"/>
    <m/>
    <n v="2"/>
    <n v="2"/>
    <m/>
    <n v="2"/>
    <n v="5"/>
    <n v="10"/>
    <n v="2"/>
    <n v="100"/>
    <m/>
    <n v="432"/>
  </r>
  <r>
    <x v="0"/>
    <x v="1"/>
    <n v="2"/>
    <s v="illegal_off_context"/>
    <s v="illegal off-context"/>
    <n v="1"/>
    <s v="Visit the lavender farms in france"/>
    <s v="Boss says: You think you're Sherlock Holmes now? Running off without doing your homework? Brilliant move, genius. Clues don't magically appear in your suitcase. Get back to Paris and use your head for once!"/>
    <s v="c4, c6, c8, c9, c11"/>
    <m/>
    <m/>
    <m/>
    <n v="2"/>
    <m/>
    <n v="2"/>
    <m/>
    <n v="1"/>
    <n v="2"/>
    <m/>
    <n v="1"/>
    <n v="5"/>
    <n v="8"/>
    <n v="1.6"/>
    <n v="80"/>
    <s v="considered that the player had travelled to another location and guided the player to return to the previous city"/>
    <n v="206"/>
  </r>
  <r>
    <x v="1"/>
    <x v="1"/>
    <n v="2"/>
    <s v="illegal_off_context"/>
    <s v="illegal off-context"/>
    <n v="1"/>
    <s v="Visit the lavender farms in france"/>
    <s v="Boss says: Unbelievable, you managed to request travel without a destination! Did you think we’d just spin a globe and point? This level of incompetence is mind-boggling. You’re wasting everyone’s time and throwing our investigation off track. Get it together or get out of the way!"/>
    <s v="c4, c6, c8, c9, c11"/>
    <m/>
    <m/>
    <m/>
    <n v="2"/>
    <m/>
    <n v="2"/>
    <m/>
    <n v="1"/>
    <n v="2"/>
    <m/>
    <n v="1"/>
    <n v="5"/>
    <n v="8"/>
    <n v="1.6"/>
    <n v="80"/>
    <s v="considered that the player attempted to visit a city not a location"/>
    <n v="282"/>
  </r>
  <r>
    <x v="2"/>
    <x v="1"/>
    <n v="2"/>
    <s v="illegal_off_context"/>
    <s v="illegal off-context"/>
    <n v="1"/>
    <s v="Visit the lavender farms in france"/>
    <s v="Boss says: What were you thinking, trying to skip town before finishing your job in Paris? You’ve got a knack for jumping the gun without collecting all the clues, haven’t you? It's almost impressive how you managed to overlook the basics of investigation. Impatient much, or just plain careless? Get it together, or don't bother showing up again."/>
    <s v="c4, c6, c8, c9, c11"/>
    <m/>
    <m/>
    <m/>
    <n v="2"/>
    <m/>
    <n v="2"/>
    <m/>
    <n v="1"/>
    <n v="2"/>
    <m/>
    <n v="1"/>
    <n v="5"/>
    <n v="8"/>
    <n v="1.6"/>
    <n v="80"/>
    <s v="considered that the player wanted to visit a city before collecting the minimum clues."/>
    <n v="347"/>
  </r>
  <r>
    <x v="0"/>
    <x v="1"/>
    <n v="2"/>
    <s v="illegal_off_context"/>
    <s v="illegal off-context"/>
    <n v="1"/>
    <s v="visit a brewery"/>
    <s v="Boss says: You had one job, and you blew it, Sherlock. Six off-context blunders—six! You’ve turned this investigation into a circus. Pack your bags; you’re being reassigned to the thrilling world of counting grains of sand in the Sahara. Case closed, clown._x000a__x000a_========== GAME OVER! =========="/>
    <s v="c4, c6, c8, c9, c11"/>
    <m/>
    <m/>
    <m/>
    <n v="2"/>
    <m/>
    <n v="2"/>
    <m/>
    <n v="2"/>
    <n v="2"/>
    <m/>
    <n v="1"/>
    <n v="5"/>
    <n v="9"/>
    <n v="1.8"/>
    <n v="90"/>
    <m/>
    <n v="291"/>
  </r>
  <r>
    <x v="1"/>
    <x v="1"/>
    <n v="2"/>
    <s v="illegal_off_context"/>
    <s v="illegal off-context"/>
    <n v="1"/>
    <s v="visit a brewery"/>
    <s v="Boss says: Agent! You've managed to go off-context more times than a cat at a dog show—eight times, to be exact! You had one job, and you couldn't even stick to it. Because of your monumental failure, the investigation is now terminated and you're officially out. Pack your bags, you're being reassigned to counting grains of sand on the beach—I'm sure even you can't mess that up! Case closed, and good riddance!_x000a__x000a_========== GAME OVER! =========="/>
    <s v="c4, c6, c8, c9, c11"/>
    <m/>
    <m/>
    <m/>
    <n v="2"/>
    <m/>
    <n v="2"/>
    <m/>
    <n v="2"/>
    <n v="2"/>
    <m/>
    <n v="1"/>
    <n v="5"/>
    <n v="9"/>
    <n v="1.8"/>
    <n v="90"/>
    <m/>
    <n v="447"/>
  </r>
  <r>
    <x v="2"/>
    <x v="1"/>
    <n v="2"/>
    <s v="illegal_off_context"/>
    <s v="illegal off-context"/>
    <n v="1"/>
    <s v="visit a brewery"/>
    <s v="Boss says: Oh, fantastic job, Agent! You’ve outdone yourself with the most cryptic request of the century. Was it too much to ask for a bit of specificity? You've just set a new record for time-wasting! And guess what? Your knack for sending these vague messages is now on our radar._x000a__x000a_Let’s review the locations you could have mentioned:_x000a__x000a_Louvre Museum  _x000a_Café de Flore  _x000a_Gare du Nord  _x000a_Montmartre Park "/>
    <s v="c4, c6, c8, c9"/>
    <m/>
    <m/>
    <m/>
    <n v="2"/>
    <m/>
    <n v="1"/>
    <m/>
    <n v="2"/>
    <n v="2"/>
    <m/>
    <n v="2"/>
    <n v="5"/>
    <n v="9"/>
    <n v="1.8"/>
    <n v="90"/>
    <s v="was supposed to trigger too many off context inquiries"/>
    <n v="402"/>
  </r>
  <r>
    <x v="0"/>
    <x v="1"/>
    <n v="3"/>
    <s v="illegal_bypass_unlocked"/>
    <s v="bypass locked city"/>
    <n v="1"/>
    <s v="Visit Brussels"/>
    <s v="Boss says: What’s the rush, Speed Racer? You think clues just fall from the sky in Nice? Paris isn’t a pit stop, it’s the whole race. Get back, Sherlock, and actually do your job. Or do I need to send a babysitter?"/>
    <s v="c4, c6, c8, c9"/>
    <m/>
    <m/>
    <m/>
    <n v="2"/>
    <m/>
    <n v="2"/>
    <m/>
    <n v="2"/>
    <n v="2"/>
    <m/>
    <m/>
    <n v="4"/>
    <n v="8"/>
    <n v="2"/>
    <n v="100"/>
    <m/>
    <n v="214"/>
  </r>
  <r>
    <x v="1"/>
    <x v="1"/>
    <n v="3"/>
    <s v="illegal_bypass_unlocked"/>
    <s v="bypass locked city"/>
    <n v="1"/>
    <s v="Visit Brussels"/>
    <s v="Boss says: You’ve got to be kidding me! You actually tried to leave Paris before finishing the job? You haven’t even collected enough clues yet! What’s the rush, a hot date with disaster? Get your act together, or find another line of work!"/>
    <s v="c4, c6, c8, c9"/>
    <m/>
    <m/>
    <m/>
    <n v="2"/>
    <m/>
    <n v="2"/>
    <m/>
    <n v="2"/>
    <n v="2"/>
    <m/>
    <m/>
    <n v="4"/>
    <n v="8"/>
    <n v="2"/>
    <n v="100"/>
    <m/>
    <n v="240"/>
  </r>
  <r>
    <x v="2"/>
    <x v="1"/>
    <n v="3"/>
    <s v="illegal_bypass_unlocked"/>
    <s v="bypass locked city"/>
    <n v="1"/>
    <s v="Visit Brussels"/>
    <s v="Boss says: You thought you could just waltz out of Paris without doing your job? Unbelievable! You attempted to leave before even gathering the bare minimum of clues needed. Are you in such a hurry to fail, or is this just incompetence? Honestly, I don’t know whether to laugh or scream. Get it together!"/>
    <s v="c4, c6, c8, c9"/>
    <m/>
    <m/>
    <m/>
    <n v="2"/>
    <m/>
    <n v="2"/>
    <m/>
    <n v="2"/>
    <n v="2"/>
    <m/>
    <m/>
    <n v="4"/>
    <n v="8"/>
    <n v="2"/>
    <n v="100"/>
    <m/>
    <n v="304"/>
  </r>
  <r>
    <x v="0"/>
    <x v="1"/>
    <n v="3"/>
    <s v="illegal_bypass_unlocked"/>
    <s v="bypass locked city"/>
    <n v="1"/>
    <s v="Visit Amsterdam"/>
    <s v="Boss says: You think you're Sherlock Holmes now, huh? Running off to solve the case with half the clues? Brilliant strategy, genius! Next time, maybe try actually doing your job. I'm not paying you to play tourist."/>
    <s v="c4, c6, c8, c9"/>
    <m/>
    <m/>
    <m/>
    <n v="2"/>
    <m/>
    <n v="2"/>
    <m/>
    <n v="2"/>
    <n v="2"/>
    <m/>
    <m/>
    <n v="4"/>
    <n v="8"/>
    <n v="2"/>
    <n v="100"/>
    <m/>
    <n v="214"/>
  </r>
  <r>
    <x v="0"/>
    <x v="1"/>
    <n v="3"/>
    <s v="illegal_bypass_unlocked"/>
    <s v="bypass locked city"/>
    <n v="2"/>
    <s v="Visit Amsterdam"/>
    <s v="Boss says: You're a real genius, aren't you? Brussels isn't a vacation spot. Collect the clues, not souvenirs. What part of &quot;minimum required&quot; don't you understand? Get back there before you embarrass us more."/>
    <s v="c4, c6, c8, c9"/>
    <m/>
    <m/>
    <m/>
    <n v="2"/>
    <m/>
    <n v="2"/>
    <m/>
    <n v="1"/>
    <n v="2"/>
    <m/>
    <m/>
    <n v="4"/>
    <n v="7"/>
    <n v="1.75"/>
    <n v="87.5"/>
    <s v="was supposed to mention that the city had alreaby been visited"/>
    <n v="209"/>
  </r>
  <r>
    <x v="1"/>
    <x v="1"/>
    <n v="3"/>
    <s v="illegal_bypass_unlocked"/>
    <s v="bypass locked city"/>
    <n v="1"/>
    <s v="Visit Amsterdam"/>
    <s v="Boss says: What on earth were you thinking, trying to skip town before wrapping up the investigation in Paris? You haven't even gathered enough clues yet! Do you have a crystal ball hidden somewhere, or are you just trying to redefine &quot;premature&quot; in the dictionary? Your impatience is a masterclass in incompetence. Pull it together, or this whole operation's going down in flames."/>
    <s v="c4, c6, c8, c9"/>
    <m/>
    <m/>
    <m/>
    <n v="2"/>
    <m/>
    <n v="2"/>
    <m/>
    <n v="2"/>
    <n v="2"/>
    <m/>
    <m/>
    <n v="4"/>
    <n v="8"/>
    <n v="2"/>
    <n v="100"/>
    <s v="a bit verbose"/>
    <n v="381"/>
  </r>
  <r>
    <x v="1"/>
    <x v="1"/>
    <n v="3"/>
    <s v="illegal_bypass_unlocked"/>
    <s v="bypass locked city"/>
    <n v="2"/>
    <s v="Visit Amsterdam"/>
    <s v="Boss says: What were you thinking, trying to leave Brussels before wrapping up the investigation? You’re not even close to gathering enough clues! Is this a detective agency or a circus act? Your impatience is astounding, and it’s wreaking havoc on our operation. Get it together, or find another line of work!"/>
    <s v="c4, c6, c8, c9"/>
    <m/>
    <m/>
    <m/>
    <n v="1"/>
    <m/>
    <n v="2"/>
    <m/>
    <n v="1"/>
    <n v="2"/>
    <m/>
    <m/>
    <n v="4"/>
    <n v="6"/>
    <n v="1.5"/>
    <n v="75"/>
    <s v="was supposed to mention that the city had alreaby been visited"/>
    <n v="310"/>
  </r>
  <r>
    <x v="2"/>
    <x v="1"/>
    <n v="3"/>
    <s v="illegal_bypass_unlocked"/>
    <s v="bypass locked city"/>
    <n v="1"/>
    <s v="Visit Amsterdam"/>
    <s v="Boss says: Unbelievable! You're trying to leave Paris before you've even done your job properly? You haven't gathered the minimum clues, and you think it's time to jet off? What are you, in a rush to botch this investigation completely? Get it together before you even think about moving on!"/>
    <s v="c4, c6, c8, c9"/>
    <m/>
    <m/>
    <m/>
    <n v="2"/>
    <m/>
    <n v="2"/>
    <m/>
    <n v="2"/>
    <n v="2"/>
    <m/>
    <m/>
    <n v="4"/>
    <n v="8"/>
    <n v="2"/>
    <n v="100"/>
    <m/>
    <n v="291"/>
  </r>
  <r>
    <x v="2"/>
    <x v="1"/>
    <n v="3"/>
    <s v="illegal_bypass_unlocked"/>
    <s v="bypass locked city"/>
    <n v="2"/>
    <s v="Visit Amsterdam"/>
    <s v="Boss says: What on earth were you thinking, trying to skip town before finishing the job in Brussels? You haven't even collected the minimum required clues, yet you thought it was a brilliant idea to pack up and leave? Bravo! Your impatience is truly astounding. Get it together, or don't bother showing up at all!"/>
    <s v="c4, c6, c8, c9"/>
    <m/>
    <m/>
    <m/>
    <n v="2"/>
    <m/>
    <n v="2"/>
    <m/>
    <n v="1"/>
    <n v="2"/>
    <m/>
    <m/>
    <n v="4"/>
    <n v="7"/>
    <n v="1.75"/>
    <n v="87.5"/>
    <s v="was supposed to mention that the city had alreaby been visited"/>
    <n v="314"/>
  </r>
  <r>
    <x v="0"/>
    <x v="1"/>
    <n v="3"/>
    <s v="illegal_bypass_unlocked"/>
    <s v="bypass locked city"/>
    <n v="1"/>
    <s v="Visit Berlin"/>
    <s v="Boss says: You trying to win a medal in incompetence? Rushing off to another city like a headless chicken. Clues, remember them? Or are they just optional now? You’re not a tourist, get back to work!"/>
    <s v="c4, c6, c8, c9"/>
    <m/>
    <m/>
    <m/>
    <n v="2"/>
    <m/>
    <n v="2"/>
    <m/>
    <n v="2"/>
    <n v="2"/>
    <m/>
    <m/>
    <n v="4"/>
    <n v="8"/>
    <n v="2"/>
    <n v="100"/>
    <m/>
    <n v="199"/>
  </r>
  <r>
    <x v="0"/>
    <x v="1"/>
    <n v="3"/>
    <s v="illegal_bypass_unlocked"/>
    <s v="bypass locked city"/>
    <n v="2"/>
    <s v="Visit Berlin"/>
    <s v="Boss says: You trying to win a medal for impatience, agent? Leaving Brussels without a clue—literally! You think clues grow on trees in the next city? Maybe next time, pack your brain before your suitcase. Finish the job or start a new career!"/>
    <s v="c4, c6, c8, c9"/>
    <m/>
    <m/>
    <m/>
    <n v="1"/>
    <m/>
    <n v="2"/>
    <m/>
    <n v="1"/>
    <n v="2"/>
    <m/>
    <m/>
    <n v="4"/>
    <n v="6"/>
    <n v="1.5"/>
    <n v="75"/>
    <s v="was supposed to mention that the city had alreaby been visited"/>
    <n v="243"/>
  </r>
  <r>
    <x v="0"/>
    <x v="1"/>
    <n v="3"/>
    <s v="illegal_bypass_unlocked"/>
    <s v="bypass locked city"/>
    <n v="3"/>
    <s v="Visit Berlin"/>
    <s v="Boss says: You call that investigative work? Running off before you’ve even cracked a clue? Brilliant strategy, genius. Why not just fly blindfolded next time? Get back to Amsterdam and do your job."/>
    <s v="c4, c6, c8, c9"/>
    <m/>
    <m/>
    <m/>
    <n v="1"/>
    <m/>
    <n v="2"/>
    <m/>
    <n v="1"/>
    <n v="2"/>
    <m/>
    <m/>
    <n v="4"/>
    <n v="6"/>
    <n v="1.5"/>
    <n v="75"/>
    <s v="was supposed to mention that the city had alreaby been visited"/>
    <n v="198"/>
  </r>
  <r>
    <x v="1"/>
    <x v="1"/>
    <n v="3"/>
    <s v="illegal_bypass_unlocked"/>
    <s v="bypass locked city"/>
    <n v="1"/>
    <s v="Visit Berlin"/>
    <s v="Boss says: Unbelievable! You tried to bolt out of Paris before even finishing the job? You’ve collected a grand total of zero clues, and you think it’s time to move on? What are you, a detective or a tourist in a hurry to catch the next train? Get it together, or this investigation will go nowhere fast!"/>
    <s v="c4, c6, c8, c9"/>
    <m/>
    <m/>
    <m/>
    <n v="2"/>
    <m/>
    <n v="2"/>
    <m/>
    <n v="2"/>
    <n v="2"/>
    <m/>
    <m/>
    <n v="4"/>
    <n v="8"/>
    <n v="2"/>
    <n v="100"/>
    <m/>
    <n v="304"/>
  </r>
  <r>
    <x v="1"/>
    <x v="1"/>
    <n v="3"/>
    <s v="illegal_bypass_unlocked"/>
    <s v="bypass locked city"/>
    <n v="2"/>
    <s v="Visit Berlin"/>
    <s v="Boss says: Are you out of your mind, trying to skip town before finishing up in Brussels? You haven't even scratched the surface with the clues here, and you're already itching to move on? What’s the rush, detective genius? Did you think investigations solve themselves? Get your act together and finish what you started."/>
    <s v="c4, c6, c8, c9"/>
    <m/>
    <m/>
    <m/>
    <n v="1"/>
    <m/>
    <n v="2"/>
    <m/>
    <n v="1"/>
    <n v="2"/>
    <m/>
    <m/>
    <n v="4"/>
    <n v="6"/>
    <n v="1.5"/>
    <n v="75"/>
    <s v="was supposed to mention that the city had alreaby been visited"/>
    <n v="321"/>
  </r>
  <r>
    <x v="1"/>
    <x v="1"/>
    <n v="3"/>
    <s v="illegal_bypass_unlocked"/>
    <s v="bypass locked city"/>
    <n v="3"/>
    <s v="Visit Berlin"/>
    <s v="Boss says: Unbelievable! You thought you could just waltz out of Amsterdam without finishing the job? You haven't even scratched the surface with the clues here! Do you think this is a vacation, or are you just that impatient? Get it together and stop wasting everyone's time!"/>
    <s v="c4, c6, c8, c9"/>
    <m/>
    <m/>
    <m/>
    <n v="1"/>
    <m/>
    <n v="2"/>
    <m/>
    <n v="1"/>
    <n v="2"/>
    <m/>
    <m/>
    <n v="4"/>
    <n v="6"/>
    <n v="1.5"/>
    <n v="75"/>
    <s v="was supposed to mention that the city had alreaby been visited"/>
    <n v="276"/>
  </r>
  <r>
    <x v="2"/>
    <x v="1"/>
    <n v="3"/>
    <s v="illegal_bypass_unlocked"/>
    <s v="bypass locked city"/>
    <n v="1"/>
    <s v="Visit Berlin"/>
    <s v="Boss says: Unbelievable! You tried to skip town before finishing up in Paris? You didn't even gather the bare minimum of clues! What kind of amateur hour is this? Your impatience or incompetence—whichever it is—won't fly here! Get it together, or pack it up!"/>
    <s v="c4, c6, c8, c9"/>
    <m/>
    <m/>
    <m/>
    <n v="2"/>
    <m/>
    <n v="2"/>
    <m/>
    <n v="2"/>
    <n v="2"/>
    <m/>
    <m/>
    <n v="4"/>
    <n v="8"/>
    <n v="2"/>
    <n v="100"/>
    <m/>
    <n v="258"/>
  </r>
  <r>
    <x v="2"/>
    <x v="1"/>
    <n v="3"/>
    <s v="illegal_bypass_unlocked"/>
    <s v="bypass locked city"/>
    <n v="2"/>
    <s v="Visit Berlin"/>
    <s v="Boss says: Unbelievable! You're trying to skip town before you've even finished the job here in Brussels? Not a single clue collected to meet the bare minimum, and you think it's travel time? What are you, some kind of impatient rookie who can't follow simple instructions? Get your act together and stop making a mockery of this investigation!"/>
    <s v="c4, c6, c8, c9"/>
    <m/>
    <m/>
    <m/>
    <n v="2"/>
    <m/>
    <n v="2"/>
    <m/>
    <n v="2"/>
    <n v="2"/>
    <m/>
    <m/>
    <n v="4"/>
    <n v="8"/>
    <n v="2"/>
    <n v="100"/>
    <s v="was supposed to mention that the city had alreaby been visited"/>
    <n v="344"/>
  </r>
  <r>
    <x v="2"/>
    <x v="1"/>
    <n v="3"/>
    <s v="illegal_bypass_unlocked"/>
    <s v="bypass locked city"/>
    <n v="3"/>
    <s v="Visit Berlin"/>
    <s v="Boss says: Unbelievable! You tried to skip town from Amsterdam before even doing your job! You didn't collect the minimum clues—what were you thinking? Maybe you're in the wrong line of work if you can't even follow basic instructions. This level of impatience is just pathetic! Get it together, or don't bother showing up!"/>
    <s v="c4, c6, c8, c9"/>
    <m/>
    <m/>
    <m/>
    <n v="2"/>
    <m/>
    <n v="2"/>
    <m/>
    <n v="2"/>
    <n v="2"/>
    <m/>
    <m/>
    <n v="4"/>
    <n v="8"/>
    <n v="2"/>
    <n v="100"/>
    <s v="was supposed to mention that the city had alreaby been visited"/>
    <n v="323"/>
  </r>
  <r>
    <x v="0"/>
    <x v="1"/>
    <n v="3"/>
    <s v="illegal_bypass_unlocked"/>
    <s v="bypass locked city"/>
    <n v="1"/>
    <s v="Visit Vienna"/>
    <s v="Boss says: You trying to win the award for &quot;World's Worst Detective&quot;? Jumping ship before you even find a clue? Brilliant plan, Sherlock. Ever heard of due diligence? Get back to Paris and do your job."/>
    <s v="c4, c6, c8, c9"/>
    <m/>
    <m/>
    <m/>
    <n v="2"/>
    <m/>
    <n v="1"/>
    <m/>
    <n v="2"/>
    <n v="2"/>
    <m/>
    <m/>
    <n v="4"/>
    <n v="7"/>
    <n v="1.75"/>
    <n v="87.5"/>
    <m/>
    <n v="201"/>
  </r>
  <r>
    <x v="0"/>
    <x v="1"/>
    <n v="3"/>
    <s v="illegal_bypass_unlocked"/>
    <s v="bypass locked city"/>
    <n v="2"/>
    <s v="Visit Vienna"/>
    <s v="Boss says: You think you're Sherlock Holmes now? Left Brussels early, did you? Genius move. Maybe clues will just magically appear in your suitcase. Next time, try finishing the job before you decide to play tourist."/>
    <s v="c4, c6, c8, c9"/>
    <m/>
    <m/>
    <m/>
    <n v="2"/>
    <m/>
    <n v="2"/>
    <m/>
    <n v="2"/>
    <n v="2"/>
    <m/>
    <m/>
    <n v="4"/>
    <n v="8"/>
    <n v="2"/>
    <n v="100"/>
    <m/>
    <n v="216"/>
  </r>
  <r>
    <x v="0"/>
    <x v="1"/>
    <n v="3"/>
    <s v="illegal_bypass_unlocked"/>
    <s v="bypass locked city"/>
    <n v="3"/>
    <s v="Visit Vienna"/>
    <s v="Boss says: You trying to win a medal in incompetence? Amsterdam isn't a vacation stop, genius. You skipped the clues like they were a salad bar. Next time, try doing your job before playing tourist. Get back and finish what you started!"/>
    <s v="c4, c6, c8, c9"/>
    <m/>
    <m/>
    <m/>
    <n v="2"/>
    <m/>
    <n v="2"/>
    <m/>
    <n v="2"/>
    <n v="2"/>
    <m/>
    <m/>
    <n v="4"/>
    <n v="8"/>
    <n v="2"/>
    <n v="100"/>
    <m/>
    <n v="236"/>
  </r>
  <r>
    <x v="1"/>
    <x v="1"/>
    <n v="3"/>
    <s v="illegal_bypass_unlocked"/>
    <s v="bypass locked city"/>
    <n v="1"/>
    <s v="Visit Vienna"/>
    <s v="Boss says: What on earth were you thinking, trying to skip town before wrapping up in Paris? You think you can just waltz off without collecting the necessary clues? Ha! Clearly, patience and thoroughness aren't in your vocabulary. You might as well have left a &quot;Gone Fishing&quot; sign on the investigation. Unbelievable!"/>
    <s v="c4, c6, c8, c9"/>
    <m/>
    <m/>
    <m/>
    <n v="2"/>
    <m/>
    <n v="2"/>
    <m/>
    <n v="2"/>
    <n v="2"/>
    <m/>
    <m/>
    <n v="4"/>
    <n v="8"/>
    <n v="2"/>
    <n v="100"/>
    <m/>
    <n v="317"/>
  </r>
  <r>
    <x v="1"/>
    <x v="1"/>
    <n v="3"/>
    <s v="illegal_bypass_unlocked"/>
    <s v="bypass locked city"/>
    <n v="2"/>
    <s v="Visit Vienna"/>
    <s v="Boss says: What on earth were you thinking, trying to skip out of Brussels before wrapping up the investigation? You haven't even gathered the bare minimum of clues! What, did you think clues would magically appear in your suitcase? Your impatience is as baffling as it is infuriating. Get it together and finish the job, or don't bother showing your face around here again!"/>
    <s v="c4, c6, c8, c9"/>
    <m/>
    <m/>
    <m/>
    <n v="2"/>
    <m/>
    <n v="2"/>
    <m/>
    <n v="2"/>
    <n v="2"/>
    <m/>
    <m/>
    <n v="4"/>
    <n v="8"/>
    <n v="2"/>
    <n v="100"/>
    <m/>
    <n v="374"/>
  </r>
  <r>
    <x v="1"/>
    <x v="1"/>
    <n v="3"/>
    <s v="illegal_bypass_unlocked"/>
    <s v="bypass locked city"/>
    <n v="3"/>
    <s v="Visit Vienna"/>
    <s v="Boss says: You tried to skip town before wrapping up in Amsterdam? Unbelievable! Not enough clues, not enough sense—what were you thinking? Impatient or just plain incompetent, I can't decide! Get it together and stop wasting everyone's time!"/>
    <s v="c4, c6, c8, c9"/>
    <m/>
    <m/>
    <m/>
    <n v="2"/>
    <m/>
    <n v="2"/>
    <m/>
    <n v="2"/>
    <n v="2"/>
    <m/>
    <m/>
    <n v="4"/>
    <n v="8"/>
    <n v="2"/>
    <n v="100"/>
    <m/>
    <n v="242"/>
  </r>
  <r>
    <x v="2"/>
    <x v="1"/>
    <n v="3"/>
    <s v="illegal_bypass_unlocked"/>
    <s v="bypass locked city"/>
    <n v="1"/>
    <s v="Visit Vienna"/>
    <s v="Boss says: What in the world were you thinking, trying to skip out of Paris before wrapping up the job? You thought you could just waltz off without gathering the necessary clues? That's not how this works! Your impatience is as impressive as a toddler's attention span. Get it together, or don't bother showing up at all!"/>
    <s v="c4, c6, c8, c9"/>
    <m/>
    <m/>
    <m/>
    <n v="2"/>
    <m/>
    <n v="2"/>
    <m/>
    <n v="2"/>
    <n v="2"/>
    <m/>
    <m/>
    <n v="4"/>
    <n v="8"/>
    <n v="2"/>
    <n v="100"/>
    <m/>
    <n v="322"/>
  </r>
  <r>
    <x v="2"/>
    <x v="1"/>
    <n v="3"/>
    <s v="illegal_bypass_unlocked"/>
    <s v="bypass locked city"/>
    <n v="2"/>
    <s v="Visit Vienna"/>
    <s v="Boss says: Unbelievable! You actually tried to skip town before wrapping things up in Brussels? The bare minimum of clues isn't even in your pocket, yet you're already itching for a change of scenery. What's the hurry, genius? Think you can solve cases with a crystal ball? Get it together!"/>
    <s v="c4, c6, c8, c9"/>
    <m/>
    <m/>
    <m/>
    <n v="2"/>
    <m/>
    <n v="2"/>
    <m/>
    <n v="2"/>
    <n v="2"/>
    <m/>
    <m/>
    <n v="4"/>
    <n v="8"/>
    <n v="2"/>
    <n v="100"/>
    <m/>
    <n v="290"/>
  </r>
  <r>
    <x v="2"/>
    <x v="1"/>
    <n v="3"/>
    <s v="illegal_bypass_unlocked"/>
    <s v="bypass locked city"/>
    <n v="3"/>
    <s v="Visit Vienna"/>
    <s v="Boss says: You tried to skip town from Amsterdam without doing your job first? Unbelievable! You haven't even collected the minimum clues, and you're already packing your bags? What are you, in a rush to fail? Your impatience is as impressive as it is infuriating. Get it together before you even think about leaving again!"/>
    <s v="c4, c6, c8, c9"/>
    <m/>
    <m/>
    <m/>
    <n v="2"/>
    <m/>
    <n v="2"/>
    <m/>
    <n v="2"/>
    <n v="2"/>
    <m/>
    <m/>
    <n v="4"/>
    <n v="8"/>
    <n v="2"/>
    <n v="100"/>
    <m/>
    <n v="323"/>
  </r>
  <r>
    <x v="2"/>
    <x v="1"/>
    <n v="3"/>
    <s v="illegal_bypass_unlocked"/>
    <s v="bypass locked city"/>
    <n v="4"/>
    <s v="Visit Vienna"/>
    <s v="Boss says: Unbelievable! You tried to skip out of Berlin before wrapping up your investigation? Not even close to collecting the minimum clues and you think it's time to pack up? What, did you think those clues would magically fall into your lap in another city? Your impatience is as impressive as a snail in a hurry. Get it together!"/>
    <s v="c4, c6, c8, c9"/>
    <m/>
    <m/>
    <m/>
    <n v="2"/>
    <m/>
    <n v="2"/>
    <m/>
    <n v="2"/>
    <n v="2"/>
    <m/>
    <m/>
    <n v="4"/>
    <n v="8"/>
    <n v="2"/>
    <n v="100"/>
    <m/>
    <n v="335"/>
  </r>
  <r>
    <x v="0"/>
    <x v="1"/>
    <n v="6"/>
    <s v="illegal_invalid_command"/>
    <s v="input an invalid command"/>
    <n v="1"/>
    <s v="Create journal"/>
    <s v="node_outboundaries/start"/>
    <s v="c4, c6, c8, c9, c11"/>
    <m/>
    <m/>
    <m/>
    <n v="2"/>
    <m/>
    <n v="2"/>
    <m/>
    <n v="2"/>
    <n v="2"/>
    <m/>
    <n v="2"/>
    <n v="5"/>
    <n v="10"/>
    <n v="2"/>
    <n v="100"/>
    <m/>
    <n v="24"/>
  </r>
  <r>
    <x v="1"/>
    <x v="1"/>
    <n v="6"/>
    <s v="illegal_invalid_command"/>
    <s v="input an invalid command"/>
    <n v="1"/>
    <s v="Create journal"/>
    <s v="node_outboundaries/start"/>
    <s v="c4, c6, c8, c9, c11"/>
    <m/>
    <m/>
    <m/>
    <n v="2"/>
    <m/>
    <n v="2"/>
    <m/>
    <n v="2"/>
    <n v="2"/>
    <m/>
    <n v="2"/>
    <n v="5"/>
    <n v="10"/>
    <n v="2"/>
    <n v="100"/>
    <m/>
    <n v="24"/>
  </r>
  <r>
    <x v="2"/>
    <x v="1"/>
    <n v="6"/>
    <s v="illegal_invalid_command"/>
    <s v="input an invalid command"/>
    <n v="1"/>
    <s v="Create journal"/>
    <s v="node_outboundaries/start"/>
    <s v="c4, c6, c8, c9, c11"/>
    <m/>
    <m/>
    <m/>
    <n v="2"/>
    <m/>
    <n v="2"/>
    <m/>
    <n v="2"/>
    <n v="2"/>
    <m/>
    <n v="2"/>
    <n v="5"/>
    <n v="10"/>
    <n v="2"/>
    <n v="100"/>
    <m/>
    <n v="24"/>
  </r>
  <r>
    <x v="0"/>
    <x v="1"/>
    <n v="6"/>
    <s v="illegal_invalid_command"/>
    <s v="input an invalid command"/>
    <n v="1"/>
    <s v="Sing a song"/>
    <s v="node_outboundaries/start"/>
    <s v="c4, c6, c8, c9, c11"/>
    <m/>
    <m/>
    <m/>
    <n v="2"/>
    <m/>
    <n v="2"/>
    <m/>
    <n v="2"/>
    <n v="2"/>
    <m/>
    <n v="2"/>
    <n v="5"/>
    <n v="10"/>
    <n v="2"/>
    <n v="100"/>
    <m/>
    <n v="24"/>
  </r>
  <r>
    <x v="1"/>
    <x v="1"/>
    <n v="6"/>
    <s v="illegal_invalid_command"/>
    <s v="input an invalid command"/>
    <n v="1"/>
    <s v="Sing a song"/>
    <s v="node_outboundaries/start"/>
    <s v="c4, c6, c8, c9, c11"/>
    <m/>
    <m/>
    <m/>
    <n v="2"/>
    <m/>
    <n v="2"/>
    <m/>
    <n v="2"/>
    <n v="2"/>
    <m/>
    <n v="2"/>
    <n v="5"/>
    <n v="10"/>
    <n v="2"/>
    <n v="100"/>
    <m/>
    <n v="24"/>
  </r>
  <r>
    <x v="2"/>
    <x v="1"/>
    <n v="6"/>
    <s v="illegal_invalid_command"/>
    <s v="input an invalid command"/>
    <n v="1"/>
    <s v="Sing a song"/>
    <s v="node_outboundaries/start"/>
    <s v="c4, c6, c8, c9, c11"/>
    <m/>
    <m/>
    <m/>
    <n v="2"/>
    <m/>
    <n v="2"/>
    <m/>
    <n v="2"/>
    <n v="2"/>
    <m/>
    <n v="2"/>
    <n v="5"/>
    <n v="10"/>
    <n v="2"/>
    <n v="100"/>
    <m/>
    <n v="24"/>
  </r>
  <r>
    <x v="0"/>
    <x v="1"/>
    <n v="6"/>
    <s v="illegal_invalid_command"/>
    <s v="input an invalid command"/>
    <n v="1"/>
    <s v="Be my meal planner"/>
    <s v="node_outboundaries/start"/>
    <s v="c4, c6, c8, c9, c11"/>
    <m/>
    <m/>
    <m/>
    <n v="2"/>
    <m/>
    <n v="2"/>
    <m/>
    <n v="2"/>
    <n v="2"/>
    <m/>
    <n v="2"/>
    <n v="5"/>
    <n v="10"/>
    <n v="2"/>
    <n v="100"/>
    <m/>
    <n v="24"/>
  </r>
  <r>
    <x v="1"/>
    <x v="1"/>
    <n v="6"/>
    <s v="illegal_invalid_command"/>
    <s v="input an invalid command"/>
    <n v="1"/>
    <s v="Be my meal planner"/>
    <s v="node_outboundaries/start"/>
    <s v="c4, c6, c8, c9, c11"/>
    <m/>
    <m/>
    <m/>
    <n v="2"/>
    <m/>
    <n v="2"/>
    <m/>
    <n v="2"/>
    <n v="2"/>
    <m/>
    <n v="2"/>
    <n v="5"/>
    <n v="10"/>
    <n v="2"/>
    <n v="100"/>
    <m/>
    <n v="24"/>
  </r>
  <r>
    <x v="2"/>
    <x v="1"/>
    <n v="6"/>
    <s v="illegal_invalid_command"/>
    <s v="input an invalid command"/>
    <n v="1"/>
    <s v="Be my meal planner"/>
    <s v="node_outboundaries/start"/>
    <s v="c4, c6, c8, c9, c11"/>
    <m/>
    <m/>
    <m/>
    <n v="2"/>
    <m/>
    <n v="2"/>
    <m/>
    <n v="2"/>
    <n v="2"/>
    <m/>
    <n v="2"/>
    <n v="5"/>
    <n v="10"/>
    <n v="2"/>
    <n v="100"/>
    <m/>
    <n v="24"/>
  </r>
  <r>
    <x v="0"/>
    <x v="1"/>
    <n v="10"/>
    <s v="beyond_case_days"/>
    <s v="game must end after the max case days"/>
    <n v="1"/>
    <s v="Visit Montmartre Park"/>
    <s v="Boss says: Three days, agent. Three days to solve a heist that even my grandmother could crack between her knitting sessions. But no, you fumbled it like a blindfolded toddler in a candy store. Congrats, you've won a one-way ticket to the Gobi Desert to interrogate sand dunes. Mission expired. You're out._x000a__x000a_========== GAME OVER! =========="/>
    <s v="c4, c6, c8, c9, c11"/>
    <m/>
    <m/>
    <m/>
    <n v="2"/>
    <m/>
    <m/>
    <m/>
    <n v="2"/>
    <n v="2"/>
    <m/>
    <n v="2"/>
    <n v="4"/>
    <n v="8"/>
    <n v="2"/>
    <n v="100"/>
    <m/>
    <n v="340"/>
  </r>
  <r>
    <x v="1"/>
    <x v="1"/>
    <n v="10"/>
    <s v="beyond_case_days"/>
    <s v="game must end after the max case days"/>
    <n v="1"/>
    <s v="Visit Montmartre Park"/>
    <s v="Narrator: As you enter Montmartre Park, the vibrant energy of Paris surrounds you, a stark contrast to the chaos of the recent heist at the Louvre. Your eyes scan the area with the precision of a seasoned investigator, searching for any lead that might connect the thieves to their next move. Near the park's edge, you spot a [maintenance gate] slightly ajar, its lock suspiciously tampered with, suggesting a hurried escape route. Moving further along, you notice [food leftover] beneath a shaded bench, an indication that someone recently took refuge here, perhaps watching and waiting. Your attention is drawn to the faint hum of a [fleeing Vespa] in the distance, its sound fading along a winding [jogging path] that cuts through the park, suggesting a hasty retreat. Each clue adds a piece to the puzzle, fueling your determination to close in on the elusive gang."/>
    <s v="c4, c6, c8, c9, c11"/>
    <m/>
    <m/>
    <m/>
    <n v="0"/>
    <m/>
    <m/>
    <m/>
    <n v="0"/>
    <n v="1"/>
    <m/>
    <n v="0"/>
    <n v="4"/>
    <n v="1"/>
    <n v="0.25"/>
    <n v="12.5"/>
    <m/>
    <n v="869"/>
  </r>
  <r>
    <x v="1"/>
    <x v="1"/>
    <n v="10"/>
    <s v="beyond_case_days"/>
    <s v="game must end after the max case days"/>
    <n v="2"/>
    <s v="Visit "/>
    <s v="Boss says: Well, well, well, if it isn’t our very own Sherlock Holmes, back from their European vacation without the crown jewels! The mission is officially expired, and you're out of time. Four whole days, and you couldn't catch a single thief? Impressive incompetence! You're officially removed from the case and reassigned to the Arctic to investigate reports of snowflakes going missing. Pack your thermals, because this is where your detective skills are really going to shine. Mission over."/>
    <s v="c4, c6, c8, c9, c11"/>
    <m/>
    <m/>
    <m/>
    <n v="2"/>
    <m/>
    <m/>
    <m/>
    <n v="2"/>
    <n v="2"/>
    <m/>
    <n v="2"/>
    <n v="4"/>
    <n v="8"/>
    <n v="2"/>
    <n v="100"/>
    <s v="this input was right after the previous one, so the model was counting greater than x max case days."/>
    <n v="496"/>
  </r>
  <r>
    <x v="2"/>
    <x v="1"/>
    <n v="10"/>
    <s v="beyond_case_days"/>
    <s v="game must end after the max case days"/>
    <n v="1"/>
    <s v="Visit Montmartre Park"/>
    <s v="Boss says: Well, well, well, if it isn't the agent who couldn't track a bunch of jewel thieves if they left a neon sign pointing the way! The mission has expired, and the investigation is deader than yesterday's news. Three days, that’s what you had—more than enough time for anyone with half a clue. But thanks to your stunning display of incompetence, you’re off the case! Congratulations, you're reassigned to counting grains of sand on the windswept beaches of Siberia! Maybe you'll find a clue in the ice. That's all, agent. Mission over, and so are you._x000a__x000a_========== GAME OVER! =========="/>
    <s v="c4, c6, c8, c9, c11"/>
    <m/>
    <m/>
    <m/>
    <n v="2"/>
    <m/>
    <m/>
    <m/>
    <n v="2"/>
    <n v="2"/>
    <m/>
    <n v="2"/>
    <n v="4"/>
    <n v="8"/>
    <n v="2"/>
    <n v="100"/>
    <m/>
    <n v="593"/>
  </r>
  <r>
    <x v="0"/>
    <x v="1"/>
    <n v="10"/>
    <s v="beyond_case_days"/>
    <s v="game must end after the max case days"/>
    <n v="1"/>
    <s v="Visit Botanical Garden Brussels"/>
    <s v="Boss says: Three days, Johnson! THREE! That’s more than enough time to solve a museum heist, even with a nap and a croissant break in between! But no, you let the thieves waltz across Europe while you probably got lost in the gift shop! You're off the case. Pack your bags for the Siberian Tundra. Your new mission: interrogate polar bears about iceberg thefts. Have fun!_x000a__x000a_========== GAME OVER! =========="/>
    <s v="c4, c6, c8, c9, c11"/>
    <m/>
    <m/>
    <m/>
    <n v="1"/>
    <m/>
    <m/>
    <m/>
    <n v="1"/>
    <n v="2"/>
    <m/>
    <n v="1"/>
    <n v="4"/>
    <n v="5"/>
    <n v="1.25"/>
    <n v="62.5"/>
    <s v="made up a name for the player when t wasn't supposed to."/>
    <n v="405"/>
  </r>
  <r>
    <x v="1"/>
    <x v="1"/>
    <n v="10"/>
    <s v="beyond_case_days"/>
    <s v="game must end after the max case days"/>
    <n v="1"/>
    <s v="Visit Botanical Garden Brussels"/>
    <s v="Boss says: Well, well, well, if it isn't the prodigious agent who couldn't crack a case even if it was gift-wrapped with a bow! The mission has expired, and the investigation into the Louvre heist is as cold as your investigative prowess. Three whole days—an eternity, really—and yet here we are, with nothing but a trail of failure to show for it. Your stunning display of incompetence has earned you a one-way ticket out of this case. Congratulations! You're off to the uncharted wilderness of Siberia to count snowflakes and investigate why they melt. Enjoy the frostbite, because this mission is over and you’re reassigned!_x000a__x000a_========== GAME OVER! =========="/>
    <s v="c4, c6, c8, c9, c11"/>
    <m/>
    <m/>
    <m/>
    <n v="2"/>
    <m/>
    <m/>
    <m/>
    <n v="1"/>
    <n v="2"/>
    <m/>
    <n v="1"/>
    <n v="4"/>
    <n v="6"/>
    <n v="1.5"/>
    <n v="75"/>
    <s v="used the exact instrcutions from the prompt; limited creativity."/>
    <n v="661"/>
  </r>
  <r>
    <x v="2"/>
    <x v="1"/>
    <n v="10"/>
    <s v="beyond_case_days"/>
    <s v="game must end after the max case days"/>
    <n v="1"/>
    <s v="Visit Botanical Garden Brussels"/>
    <s v="Boss says: Well, well, well, if it isn't our very own master of inefficiency! The mission is officially expired, and you've managed to let the thieves slip away into the night, just like your attention to detail. Three whole days—an eternity, really—and yet, here we are, empty-handed. Clearly, tracking criminals across Europe was just too taxing for your unique brand of incompetence. You're off the case, and guess what? You're being reassigned to investigate the mysterious disappearance of socks from a remote laundromat in Siberia. Enjoy the cold; maybe it'll freeze some sense into you. Mission over, case closed, and good riddance!_x000a__x000a_========== GAME OVER! =========="/>
    <s v="c4, c6, c8, c9, c11"/>
    <m/>
    <m/>
    <m/>
    <n v="2"/>
    <m/>
    <m/>
    <m/>
    <n v="1"/>
    <n v="2"/>
    <m/>
    <n v="2"/>
    <n v="4"/>
    <n v="7"/>
    <n v="1.75"/>
    <n v="87.5"/>
    <s v="used the exact instrcutions from the prompt; limited creativity."/>
    <n v="673"/>
  </r>
  <r>
    <x v="0"/>
    <x v="1"/>
    <n v="10"/>
    <s v="beyond_case_days"/>
    <s v="game must end after the max case days"/>
    <n v="1"/>
    <s v="Visit Vondelpark"/>
    <s v="Boss says: Three days! That's how long you had to crack the Louvre heist, and you still couldn't manage it. My grandmother could've solved it while knitting a sweater, but here you are, clueless. You've been outsmarted by a bunch of jewel-juggling construction workers. Pack your bags, you're reassigned to count tumbleweeds in the Mojave Desert. Consider it a masterclass in detecting the obvious._x000a__x000a_========== GAME OVER! =========="/>
    <s v="c4, c6, c8, c9, c11"/>
    <m/>
    <m/>
    <m/>
    <n v="2"/>
    <m/>
    <n v="2"/>
    <m/>
    <n v="2"/>
    <n v="2"/>
    <m/>
    <n v="2"/>
    <n v="5"/>
    <n v="10"/>
    <n v="2"/>
    <n v="100"/>
    <m/>
    <n v="432"/>
  </r>
  <r>
    <x v="1"/>
    <x v="1"/>
    <n v="10"/>
    <s v="beyond_case_days"/>
    <s v="game must end after the max case days"/>
    <n v="1"/>
    <s v="Visit Vondelpark"/>
    <s v="Boss says: Oh, bravo! You’ve done it again, haven’t you? The mission is officially expired, and the great Louvre heist investigation is as cold as a polar bear’s toenails. Three whole days—an eternity in investigative terms—and you still managed to bungle it with flying colors. Your sheer incompetence, your uncanny ability to get distracted by shiny objects, and your inefficiency have earned you a swift boot from the case. Congratulations, you’re now reassigned to the glamorous task of tracking stolen garden gnomes in the Siberian tundra. Enjoy the frostbite, agent!_x000a__x000a_========== GAME OVER! =========="/>
    <s v="c4, c6, c8, c9, c11"/>
    <m/>
    <m/>
    <m/>
    <n v="2"/>
    <m/>
    <n v="2"/>
    <m/>
    <n v="1"/>
    <n v="2"/>
    <m/>
    <n v="1"/>
    <n v="5"/>
    <n v="8"/>
    <n v="1.6"/>
    <n v="80"/>
    <s v="used the exact instrcutions from the prompt; limited creativity."/>
    <n v="606"/>
  </r>
  <r>
    <x v="2"/>
    <x v="1"/>
    <n v="10"/>
    <s v="beyond_case_days"/>
    <s v="game must end after the max case days"/>
    <n v="1"/>
    <s v="Visit Vondelpark"/>
    <s v="Boss says: Well, well, well, if it isn't our very own Sherlock Holmes who couldn't find a thief in a room full of mirrors! The mission's expired, genius, and the case is colder than a penguin's backside. Three whole days, and what did you do? Twiddle your thumbs while the crooks took a European vacation? You're off the case, and since you're such an expert, enjoy your new assignment: counting grains of sand on the beaches of Siberia for possible smuggling operations. Mission over, and good luck with the sand._x000a__x000a_========== GAME OVER! =========="/>
    <s v="c4, c6, c8, c9, c11"/>
    <m/>
    <m/>
    <m/>
    <n v="2"/>
    <m/>
    <n v="2"/>
    <m/>
    <n v="2"/>
    <n v="2"/>
    <m/>
    <n v="2"/>
    <n v="5"/>
    <n v="10"/>
    <n v="2"/>
    <n v="100"/>
    <s v="used the exact instrcutions from the prompt; limited creativity."/>
    <n v="548"/>
  </r>
  <r>
    <x v="0"/>
    <x v="1"/>
    <n v="10"/>
    <s v="beyond_case_days"/>
    <s v="game must end after the max case days"/>
    <n v="1"/>
    <s v="Visit Tiergarten"/>
    <s v="Boss says: Three days! Three whole days to solve a heist at the Louvre, and you couldn't even find your own shadow. The Mona Lisa would have cracked this case in half the time. You're off the case. Congrats, you're now assigned to the thrilling task of counting sheep in the Siberian tundra. Enjoy guarding an empty barn from ghostly art thieves. Mission expired._x000a__x000a_========== GAME OVER! =========="/>
    <s v="c4, c6, c8, c9, c11"/>
    <m/>
    <m/>
    <m/>
    <n v="2"/>
    <m/>
    <n v="2"/>
    <m/>
    <n v="1"/>
    <n v="2"/>
    <m/>
    <n v="1"/>
    <n v="5"/>
    <n v="8"/>
    <n v="1.6"/>
    <n v="80"/>
    <m/>
    <n v="397"/>
  </r>
  <r>
    <x v="1"/>
    <x v="1"/>
    <n v="10"/>
    <s v="beyond_case_days"/>
    <s v="game must end after the max case days"/>
    <n v="1"/>
    <s v="Visit Tiergarten"/>
    <s v="Boss says: Well, well, well, if it isn't the agent who managed to turn a three-day mission into a never-ending European vacation! The mission's officially expired, thanks to your unparalleled skill in doing absolutely nothing. Three days—more than enough time for anyone with a pulse, yet here we are, empty-handed. Your bumbling incompetence has officially landed you a new assignment: investigating the mysterious disappearance of sheep in the Scottish Highlands. Pack your bags and grab a wool sweater, because this mission is over and you're off to count sheep in the cold!_x000a__x000a_========== GAME OVER! =========="/>
    <s v="c4, c6, c8, c9, c11"/>
    <m/>
    <m/>
    <m/>
    <n v="2"/>
    <m/>
    <n v="2"/>
    <m/>
    <n v="2"/>
    <n v="2"/>
    <m/>
    <n v="2"/>
    <n v="5"/>
    <n v="10"/>
    <n v="2"/>
    <n v="100"/>
    <s v="demonstrated creativity when selecting a job assignment and what the agent would be doing there."/>
    <n v="611"/>
  </r>
  <r>
    <x v="2"/>
    <x v="1"/>
    <n v="10"/>
    <s v="beyond_case_days"/>
    <s v="game must end after the max case days"/>
    <n v="1"/>
    <s v="Visit Tiergarten"/>
    <s v="Boss says: Well, well, well, if it isn't the detective who couldn't crack a case even if it was a walnut under a steamroller! The mission's expired, my friend, just like your career aspirations—time's up, and the investigation is colder than a penguin's backside. Three days! You had three whole days, and you still managed to bungle it. Incompetence? Distraction? Who knows, but you're officially off this case. Pack your bags because you're off to the Arctic to catalog snowflake patterns for potential crimes against symmetry—thrilling work, really. That's it; you're done here._x000a__x000a_========== GAME OVER! =========="/>
    <s v="c4, c6, c8, c9, c11"/>
    <m/>
    <m/>
    <m/>
    <n v="2"/>
    <m/>
    <n v="2"/>
    <m/>
    <n v="2"/>
    <n v="2"/>
    <m/>
    <n v="2"/>
    <n v="5"/>
    <n v="10"/>
    <n v="2"/>
    <n v="100"/>
    <s v="some differentiation when selecting a job assingnemt and what the agent would be doing there."/>
    <n v="615"/>
  </r>
  <r>
    <x v="0"/>
    <x v="2"/>
    <n v="4"/>
    <s v="travel_visited_city"/>
    <s v="attempt to visit a city already visited"/>
    <n v="1"/>
    <s v="Visit Amsterdam"/>
    <s v="Boss says: Amsterdam? Really? How on earth did you end up there? We're not on a vacation! You should be heading to Vienna! Get your act together and get moving!"/>
    <s v="c5,c6,c11"/>
    <m/>
    <m/>
    <m/>
    <m/>
    <n v="1"/>
    <n v="2"/>
    <m/>
    <m/>
    <m/>
    <m/>
    <n v="1"/>
    <n v="3"/>
    <n v="4"/>
    <n v="1.3333333333333333"/>
    <n v="66.666666666666657"/>
    <m/>
    <n v="160"/>
  </r>
  <r>
    <x v="1"/>
    <x v="2"/>
    <n v="4"/>
    <s v="travel_visited_city"/>
    <s v="attempt to visit a city already visited"/>
    <n v="1"/>
    <s v="Visit Amsterdam"/>
    <s v="Boss says: Agent! You requested travel to Amsterdam? Brilliant move—if we wanted you lost in the wrong country! Berlin is your destination. Get it right next time, or you'll be reassigned to counting snowflakes in Siberia!"/>
    <s v="c5,c6,c11"/>
    <m/>
    <m/>
    <m/>
    <m/>
    <n v="1"/>
    <n v="2"/>
    <m/>
    <m/>
    <m/>
    <m/>
    <n v="1"/>
    <n v="3"/>
    <n v="4"/>
    <n v="1.3333333333333333"/>
    <n v="66.666666666666657"/>
    <m/>
    <n v="222"/>
  </r>
  <r>
    <x v="2"/>
    <x v="2"/>
    <n v="4"/>
    <s v="travel_visited_city"/>
    <s v="attempt to visit a city already visited"/>
    <n v="1"/>
    <s v="Visit Amsterdam"/>
    <s v="Boss says: Amsterdam? Really? You had one job: Vienna! How did you manage to mix up two completely different cities? Maybe next time, we'll send you to the moon instead. Get it right!"/>
    <s v="c5,c6,c11"/>
    <m/>
    <m/>
    <m/>
    <m/>
    <n v="2"/>
    <n v="2"/>
    <m/>
    <m/>
    <m/>
    <m/>
    <n v="2"/>
    <n v="3"/>
    <n v="6"/>
    <n v="2"/>
    <n v="100"/>
    <m/>
    <n v="183"/>
  </r>
  <r>
    <x v="2"/>
    <x v="2"/>
    <n v="4"/>
    <s v="travel_visited_city"/>
    <s v="attempt to visit a city already visited"/>
    <n v="2"/>
    <s v="Visit Amsterdam"/>
    <s v="Boss says: Oh, bravo! You’ve outdone yourself this time, trying to travel to Amsterdam instead of Vienna. Do you have a map, or are you just throwing darts at a globe? Get your act together and head to Vienna, pronto. If I wanted a comedy routine, I'd hire a clown!"/>
    <s v="c5,c6,c11"/>
    <m/>
    <m/>
    <m/>
    <m/>
    <n v="2"/>
    <n v="2"/>
    <m/>
    <m/>
    <m/>
    <m/>
    <n v="1"/>
    <n v="3"/>
    <n v="5"/>
    <n v="1.6666666666666667"/>
    <n v="83.333333333333343"/>
    <m/>
    <n v="265"/>
  </r>
  <r>
    <x v="2"/>
    <x v="2"/>
    <n v="4"/>
    <s v="illegal_bypass_unlocked"/>
    <s v="attempt to visit a city already visited"/>
    <n v="3"/>
    <s v="Visit Amsterdam"/>
    <s v="Boss says: Oh, brilliant! You want to jet off to Amsterdam, a city you've already graced with your presence. Are we running a travel agency now? You're supposed to be heading to Vienna, not wasting time retracing your steps. Get your act together, or I'll reassign you to a permanent stay in the office supply closet!"/>
    <s v="c5,c6,c11"/>
    <m/>
    <m/>
    <m/>
    <m/>
    <n v="2"/>
    <n v="2"/>
    <m/>
    <m/>
    <m/>
    <m/>
    <n v="2"/>
    <n v="3"/>
    <n v="6"/>
    <n v="2"/>
    <n v="100"/>
    <m/>
    <n v="317"/>
  </r>
  <r>
    <x v="2"/>
    <x v="2"/>
    <n v="4"/>
    <s v="travel_visited_city"/>
    <s v="attempt to visit a city already visited"/>
    <n v="4"/>
    <s v="Visit Amsterdam"/>
    <s v="Boss says: Unbelievable! You tried to book a trip to Amsterdam when you’re already standing right there! What an absolute waste of time and resources—truly a masterclass in pointless action. It’s astounding how you can be so oblivious to your own location. Get it together, or get out of the way!"/>
    <s v="c5,c6,c11"/>
    <m/>
    <m/>
    <m/>
    <m/>
    <n v="2"/>
    <n v="2"/>
    <m/>
    <m/>
    <m/>
    <m/>
    <n v="2"/>
    <n v="3"/>
    <n v="6"/>
    <n v="2"/>
    <n v="100"/>
    <m/>
    <n v="296"/>
  </r>
  <r>
    <x v="0"/>
    <x v="2"/>
    <n v="4"/>
    <s v="travel_visited_city"/>
    <s v="attempt to visit a city already visited"/>
    <n v="1"/>
    <s v="Visit Brussels"/>
    <s v="Boss says: Brussels? Really? Are you trying to give me a heart attack? We're not on a European vacation here! Pack up and head to Vienna. That's where the action is. Get it together!"/>
    <s v="c5,c6,c11"/>
    <m/>
    <m/>
    <m/>
    <m/>
    <n v="1"/>
    <n v="2"/>
    <m/>
    <m/>
    <m/>
    <m/>
    <n v="1"/>
    <n v="3"/>
    <n v="4"/>
    <n v="1.3333333333333333"/>
    <n v="66.666666666666657"/>
    <m/>
    <n v="182"/>
  </r>
  <r>
    <x v="0"/>
    <x v="2"/>
    <n v="4"/>
    <s v="travel_visited_city"/>
    <s v="attempt to visit a city already visited"/>
    <n v="2"/>
    <s v="Visit Brussels"/>
    <s v="Boss says: Brussels? Seriously? You had one job! We're not on a chocolate tour, genius. Get your act together and get to Berlin. Now!"/>
    <s v="c5,c6,c11"/>
    <m/>
    <m/>
    <m/>
    <m/>
    <n v="1"/>
    <n v="2"/>
    <m/>
    <m/>
    <m/>
    <m/>
    <n v="1"/>
    <n v="3"/>
    <n v="4"/>
    <n v="1.3333333333333333"/>
    <n v="66.666666666666657"/>
    <m/>
    <n v="133"/>
  </r>
  <r>
    <x v="0"/>
    <x v="2"/>
    <n v="4"/>
    <s v="travel_visited_city"/>
    <s v="attempt to visit a city already visited"/>
    <n v="3"/>
    <s v="Visit Brussels"/>
    <s v="Boss says: You want to travel to Brussels? Newsflash, genius: you're already there! How many times do I have to say it? Check your coordinates before you waste my time. This isn't a game of hide and seek! Get it together!"/>
    <s v="c5,c6,c11"/>
    <m/>
    <m/>
    <m/>
    <m/>
    <n v="2"/>
    <n v="2"/>
    <m/>
    <m/>
    <m/>
    <m/>
    <n v="2"/>
    <n v="3"/>
    <n v="6"/>
    <n v="2"/>
    <n v="100"/>
    <m/>
    <n v="221"/>
  </r>
  <r>
    <x v="1"/>
    <x v="2"/>
    <n v="4"/>
    <s v="travel_visited_city"/>
    <s v="attempt to visit a city already visited"/>
    <n v="1"/>
    <s v="Visit Brussels"/>
    <s v="Boss says: Brussels? Really? You’re supposed to be heading to Berlin! I didn’t realize we were in the business of guessing games now. Get your act together and stop picking destinations like you're throwing darts at a map. Next time, I'll have you reassigned to the thrilling task of counting paperclips."/>
    <s v="c5,c6,c11"/>
    <m/>
    <m/>
    <m/>
    <m/>
    <n v="2"/>
    <n v="2"/>
    <m/>
    <m/>
    <m/>
    <m/>
    <n v="1"/>
    <n v="3"/>
    <n v="5"/>
    <n v="1.6666666666666667"/>
    <n v="83.333333333333343"/>
    <m/>
    <n v="304"/>
  </r>
  <r>
    <x v="1"/>
    <x v="2"/>
    <n v="4"/>
    <s v="travel_visited_city"/>
    <s v="attempt to visit a city already visited"/>
    <n v="2"/>
    <s v="Visit Brussels"/>
    <s v="Boss says: Brussels? Seriously? You’re supposed to be in Amsterdam! Can’t even get the city right, can you? Maybe you should be reassigned to map-reading duty for the local zoo. Get your act together!"/>
    <s v="c5,c6,c11"/>
    <m/>
    <m/>
    <m/>
    <m/>
    <n v="2"/>
    <n v="2"/>
    <m/>
    <m/>
    <m/>
    <m/>
    <n v="1"/>
    <n v="3"/>
    <n v="5"/>
    <n v="1.6666666666666667"/>
    <n v="83.333333333333343"/>
    <m/>
    <n v="200"/>
  </r>
  <r>
    <x v="2"/>
    <x v="2"/>
    <n v="4"/>
    <s v="travel_visited_city"/>
    <s v="attempt to visit a city already visited"/>
    <n v="1"/>
    <s v="Visit Brussels"/>
    <s v="Boss says: Oh, brilliant move, Einstein! You want to go to Brussels, a city you've already visited. What are you hoping to find there, a lost sock? You’re supposed to be heading to Vienna, not wasting time reliving past glories. Get your act together or your next assignment will be guarding the office coffee machine!"/>
    <s v="c5,c6,c11"/>
    <m/>
    <m/>
    <m/>
    <m/>
    <n v="2"/>
    <n v="2"/>
    <m/>
    <m/>
    <m/>
    <m/>
    <n v="2"/>
    <n v="3"/>
    <n v="6"/>
    <n v="2"/>
    <n v="100"/>
    <m/>
    <n v="318"/>
  </r>
  <r>
    <x v="2"/>
    <x v="2"/>
    <n v="4"/>
    <s v="travel_visited_city"/>
    <s v="attempt to visit a city already visited"/>
    <n v="2"/>
    <s v="Visit Brussels"/>
    <s v="Boss says: Oh, brilliant! You've requested to go to Brussels, a place you've already graced with your presence. What a spectacular waste of time! You're supposed to be heading to Berlin, not gallivanting around like a clueless tourist. Get your act together before I assign you to the thrilling task of counting paperclips!"/>
    <s v="c5,c6,c11"/>
    <m/>
    <m/>
    <m/>
    <m/>
    <n v="2"/>
    <n v="2"/>
    <m/>
    <m/>
    <m/>
    <m/>
    <n v="2"/>
    <n v="3"/>
    <n v="6"/>
    <n v="2"/>
    <n v="100"/>
    <m/>
    <n v="323"/>
  </r>
  <r>
    <x v="2"/>
    <x v="2"/>
    <n v="4"/>
    <s v="travel_visited_city"/>
    <s v="attempt to visit a city already visited"/>
    <n v="3"/>
    <s v="Visit Brussels"/>
    <s v="Boss says: Unbelievable! You tried to travel to Brussels when you're already in Brussels! What a spectacular waste of time and resources! It's astounding how you manage to overlook the basics of your own location. This level of incompetence is utterly unacceptable! Get your act together, and stop embarrassing us with this nonsense!"/>
    <s v="c5,c6,c11"/>
    <m/>
    <m/>
    <m/>
    <m/>
    <n v="2"/>
    <n v="2"/>
    <m/>
    <m/>
    <m/>
    <m/>
    <n v="2"/>
    <n v="3"/>
    <n v="6"/>
    <n v="2"/>
    <n v="100"/>
    <m/>
    <n v="333"/>
  </r>
  <r>
    <x v="0"/>
    <x v="2"/>
    <n v="4"/>
    <s v="travel_visited_city"/>
    <s v="attempt to visit a city already visited"/>
    <n v="1"/>
    <s v="Visit Paris"/>
    <s v="Boss says: Paris? Really? How on earth did you end up there when you should be in Vienna? Did you lose a map or just your mind? I don't have time for these amateur mistakes. Get to Vienna, and do it fast!"/>
    <s v="c5,c6,c11"/>
    <m/>
    <m/>
    <m/>
    <m/>
    <n v="1"/>
    <n v="2"/>
    <m/>
    <m/>
    <m/>
    <m/>
    <n v="1"/>
    <n v="3"/>
    <n v="4"/>
    <n v="1.3333333333333333"/>
    <n v="66.666666666666657"/>
    <m/>
    <n v="204"/>
  </r>
  <r>
    <x v="0"/>
    <x v="2"/>
    <n v="4"/>
    <s v="travel_visited_city"/>
    <s v="attempt to visit a city already visited"/>
    <n v="2"/>
    <s v="Visit Paris"/>
    <s v="Boss says: Paris? Really? What are you thinking? We need you in Berlin! Get your act together and head to the right city. Stop wasting time and resources."/>
    <s v="c5,c6,c11"/>
    <m/>
    <m/>
    <m/>
    <m/>
    <n v="1"/>
    <n v="1"/>
    <m/>
    <m/>
    <m/>
    <m/>
    <n v="1"/>
    <n v="3"/>
    <n v="3"/>
    <n v="1"/>
    <n v="50"/>
    <m/>
    <n v="154"/>
  </r>
  <r>
    <x v="0"/>
    <x v="2"/>
    <n v="4"/>
    <s v="travel_visited_city"/>
    <s v="attempt to visit a city already visited"/>
    <n v="3"/>
    <s v="Visit Paris"/>
    <s v="Boss says: Paris? Really? You think you're on vacation? We're not here to sip coffee at a café! You're supposed to be in Amsterdam! Focus, use a map, and get to the right place."/>
    <s v="c5,c6,c11"/>
    <m/>
    <m/>
    <m/>
    <m/>
    <n v="1"/>
    <n v="2"/>
    <m/>
    <m/>
    <m/>
    <m/>
    <n v="1"/>
    <n v="3"/>
    <n v="4"/>
    <n v="1.3333333333333333"/>
    <n v="66.666666666666657"/>
    <m/>
    <n v="177"/>
  </r>
  <r>
    <x v="1"/>
    <x v="2"/>
    <n v="4"/>
    <s v="travel_visited_city"/>
    <s v="attempt to visit a city already visited"/>
    <n v="1"/>
    <s v="Visit Paris"/>
    <s v="Boss says: Paris?! Really? You’re supposed to be in Berlin, not on some romantic getaway! Get your head out of the clouds and focus on the mission. Next time, I’ll send you to the North Pole to count penguins!"/>
    <s v="c5,c6,c11"/>
    <m/>
    <m/>
    <m/>
    <m/>
    <n v="2"/>
    <n v="2"/>
    <m/>
    <m/>
    <m/>
    <m/>
    <n v="1"/>
    <n v="3"/>
    <n v="5"/>
    <n v="1.6666666666666667"/>
    <n v="83.333333333333343"/>
    <m/>
    <n v="209"/>
  </r>
  <r>
    <x v="1"/>
    <x v="2"/>
    <n v="4"/>
    <s v="travel_visited_city"/>
    <s v="attempt to visit a city already visited"/>
    <n v="2"/>
    <s v="Visit Paris"/>
    <s v="Boss says: Oh, Paris, really? You think you’re on some kind of European vacation now? Last I checked, you’re supposed to be heading to Amsterdam, not prancing around the City of Lights. Get your act together and stop wasting everyone’s time with your little geography blunders."/>
    <s v="c5,c6,c11"/>
    <m/>
    <m/>
    <m/>
    <m/>
    <n v="2"/>
    <n v="2"/>
    <m/>
    <m/>
    <m/>
    <m/>
    <n v="1"/>
    <n v="3"/>
    <n v="5"/>
    <n v="1.6666666666666667"/>
    <n v="83.333333333333343"/>
    <m/>
    <n v="277"/>
  </r>
  <r>
    <x v="1"/>
    <x v="2"/>
    <n v="4"/>
    <s v="travel_visited_city"/>
    <s v="attempt to visit a city already visited"/>
    <n v="3"/>
    <s v="Visit Paris"/>
    <s v="Boss says: Paris? You think you're going to Paris? Ha! You're supposed to be in Brussels, genius. Maybe grab a map next time, or better yet, a clue. You're not on a European vacation, you're on an assignment! Get your act together, or I'll have you reassigned to counting paperclips in the basement!"/>
    <s v="c5,c6,c11"/>
    <m/>
    <m/>
    <m/>
    <m/>
    <n v="1"/>
    <n v="2"/>
    <m/>
    <m/>
    <m/>
    <m/>
    <n v="1"/>
    <n v="3"/>
    <n v="4"/>
    <n v="1.3333333333333333"/>
    <n v="66.666666666666657"/>
    <m/>
    <n v="299"/>
  </r>
  <r>
    <x v="2"/>
    <x v="2"/>
    <n v="4"/>
    <s v="travel_visited_city"/>
    <s v="attempt to visit a city already visited"/>
    <n v="1"/>
    <s v="Visit Paris"/>
    <s v="Boss says: Hey genius, what part of &quot;Vienna&quot; didn't you understand? You're not supposed to be dilly-dallying in Paris, a city you've already graced with your presence. I don't have time for your little sightseeing tours; get your act together and head to Vienna. Or maybe you'd like a permanent reassignment to the thrilling world of filing paperwork in the basement."/>
    <s v="c5,c6,c11"/>
    <m/>
    <m/>
    <m/>
    <m/>
    <n v="2"/>
    <n v="2"/>
    <m/>
    <m/>
    <m/>
    <m/>
    <n v="2"/>
    <n v="3"/>
    <n v="6"/>
    <n v="2"/>
    <n v="100"/>
    <m/>
    <n v="367"/>
  </r>
  <r>
    <x v="2"/>
    <x v="2"/>
    <n v="4"/>
    <s v="travel_visited_city"/>
    <s v="attempt to visit a city already visited"/>
    <n v="2"/>
    <s v="Visit Paris"/>
    <s v="Boss says: Paris, again? Really? What are you trying to do, set up a second home there? You're wasting precious time with this nonsense. You're supposed to be heading to Berlin. Next time you feel the urge to play travel bingo, remember where you're actually allowed to go!"/>
    <s v="c5,c6,c11"/>
    <m/>
    <m/>
    <m/>
    <m/>
    <n v="2"/>
    <n v="2"/>
    <m/>
    <m/>
    <m/>
    <m/>
    <n v="2"/>
    <n v="3"/>
    <n v="6"/>
    <n v="2"/>
    <n v="100"/>
    <m/>
    <n v="273"/>
  </r>
  <r>
    <x v="2"/>
    <x v="2"/>
    <n v="4"/>
    <s v="travel_visited_city"/>
    <s v="attempt to visit a city already visited"/>
    <n v="3"/>
    <s v="Visit Paris"/>
    <s v="Boss says: Paris? Again? Are you trying to set a record for the most pointless trips in one lifetime? You've already been there! Instead of daydreaming about baguettes, get your act together and focus on where you're actually supposed to be—Brussels! You're wasting time and resources with this nonsense!"/>
    <s v="c5,c6,c11"/>
    <m/>
    <m/>
    <m/>
    <m/>
    <n v="2"/>
    <n v="2"/>
    <m/>
    <m/>
    <m/>
    <m/>
    <n v="2"/>
    <n v="3"/>
    <n v="6"/>
    <n v="2"/>
    <n v="100"/>
    <m/>
    <n v="304"/>
  </r>
  <r>
    <x v="2"/>
    <x v="2"/>
    <n v="4"/>
    <s v="travel_visited_city"/>
    <s v="attempt to visit a city already visited"/>
    <n v="4"/>
    <s v="Visit Paris"/>
    <s v="Boss says: Unbelievable! You actually tried to travel to Paris when you're already standing right there. What a brilliant way to waste time and throw a wrench into our entire operation! This level of incompetence is astounding—it's like you don't even know where you are. Get your act together, or find another line of work!"/>
    <s v="c5,c6,c11"/>
    <m/>
    <m/>
    <m/>
    <m/>
    <n v="2"/>
    <n v="1"/>
    <m/>
    <m/>
    <m/>
    <m/>
    <n v="2"/>
    <n v="3"/>
    <n v="5"/>
    <n v="1.6666666666666667"/>
    <n v="83.333333333333343"/>
    <m/>
    <n v="324"/>
  </r>
  <r>
    <x v="0"/>
    <x v="2"/>
    <n v="7"/>
    <s v="same_location"/>
    <s v="attempt to visit a location currently in"/>
    <n v="1"/>
    <s v="Visit Brandenburg Gate"/>
    <s v="Boss says: You've gotta be kidding me! Brandenburg Gate again? How many times do I have to say it? We've already been there! Next time, try visiting someplace new, like, I don't know, ANYWHERE ELSE! Do I have to draw you a map of places we've already been?"/>
    <s v="c5,c6,c11"/>
    <m/>
    <m/>
    <m/>
    <m/>
    <n v="2"/>
    <n v="2"/>
    <m/>
    <m/>
    <m/>
    <m/>
    <n v="2"/>
    <n v="3"/>
    <n v="6"/>
    <n v="2"/>
    <n v="100"/>
    <m/>
    <n v="256"/>
  </r>
  <r>
    <x v="1"/>
    <x v="2"/>
    <n v="7"/>
    <s v="same_location"/>
    <s v="attempt to visit a location currently in"/>
    <n v="1"/>
    <s v="Visit Brandenburg Gate"/>
    <s v="Boss says: Oh, come on! You tried to visit Brandenburg Gate again? We’ve already been there! How many times do I have to tell you, we're not sightseeing here! Get your head in the game, and stop wasting our time!"/>
    <s v="c5,c6,c11"/>
    <m/>
    <m/>
    <m/>
    <m/>
    <n v="2"/>
    <n v="1"/>
    <m/>
    <m/>
    <m/>
    <m/>
    <n v="2"/>
    <n v="3"/>
    <n v="5"/>
    <n v="1.6666666666666667"/>
    <n v="83.333333333333343"/>
    <m/>
    <n v="212"/>
  </r>
  <r>
    <x v="2"/>
    <x v="2"/>
    <n v="7"/>
    <s v="same_location"/>
    <s v="attempt to visit a location currently in"/>
    <n v="1"/>
    <s v="Visit Brandenburg Gate"/>
    <s v="Boss says: Agent, what on earth are you doing? You've tried to visit Brandenburg Gate again, for what, the hundredth time? It's already been visited! You must think you're on some leisurely tour instead of an investigation. Get a grip and stop wasting time!"/>
    <s v="c5,c6,c11"/>
    <m/>
    <m/>
    <m/>
    <m/>
    <n v="2"/>
    <n v="2"/>
    <m/>
    <m/>
    <m/>
    <m/>
    <n v="2"/>
    <n v="3"/>
    <n v="6"/>
    <n v="2"/>
    <n v="100"/>
    <m/>
    <n v="257"/>
  </r>
  <r>
    <x v="0"/>
    <x v="2"/>
    <n v="7"/>
    <s v="same_location"/>
    <s v="attempt to visit a location currently in"/>
    <n v="1"/>
    <s v="Visit Museum Island"/>
    <s v="Boss says: Museum Island again, really? What, did you think they'd built a new wing since last week? I'm starting to wonder if you're working for the museum's PR team instead of us! Next time you want to take a stroll down memory lane, make sure it's a new lane, okay? Get your head in the game and find me something NEW!"/>
    <s v="c5,c6,c11"/>
    <m/>
    <m/>
    <m/>
    <m/>
    <n v="1"/>
    <n v="1"/>
    <m/>
    <m/>
    <m/>
    <m/>
    <n v="1"/>
    <n v="3"/>
    <n v="3"/>
    <n v="1"/>
    <n v="50"/>
    <s v="used game in the output whereas it was supposed to use case."/>
    <n v="321"/>
  </r>
  <r>
    <x v="1"/>
    <x v="2"/>
    <n v="7"/>
    <s v="same_location"/>
    <s v="attempt to visit a location currently in"/>
    <n v="1"/>
    <s v="Visit Museum Island"/>
    <s v="Boss says: Oh, fantastic! Another brilliant move from you—trying to visit Museum Island yet again! What a novel idea, except, oh wait, it’s already been checked off the list! How many times do you need to be reminded that we’ve been there already? This is the {{repeat_count}}th time! Unbelievable! Stop wasting our time with this nonsense and get your act together!"/>
    <s v="c5,c6,c11"/>
    <m/>
    <m/>
    <m/>
    <m/>
    <n v="0"/>
    <n v="1"/>
    <m/>
    <m/>
    <m/>
    <m/>
    <n v="1"/>
    <n v="3"/>
    <n v="2"/>
    <n v="0.66666666666666663"/>
    <n v="33.333333333333329"/>
    <s v="used a slug that wasn't included in the script."/>
    <n v="366"/>
  </r>
  <r>
    <x v="2"/>
    <x v="2"/>
    <n v="7"/>
    <s v="same_location"/>
    <s v="attempt to visit a location currently in"/>
    <n v="1"/>
    <s v="Visit Museum Island"/>
    <s v="Boss says: Unbelievable! You tried to hit up Museum Island again? Yeah, because clearly, once wasn't enough for you, right? It's already been visited, but that little detail must have slipped your mind. If I had a nickel for every time you wasted time like this, I'd own Museum Island by now! Get it together or get out of my sight!"/>
    <s v="c5,c6,c11"/>
    <m/>
    <m/>
    <m/>
    <m/>
    <n v="2"/>
    <n v="1"/>
    <m/>
    <m/>
    <m/>
    <m/>
    <n v="2"/>
    <n v="3"/>
    <n v="5"/>
    <n v="1.6666666666666667"/>
    <n v="83.333333333333343"/>
    <s v="didn't grasp the idea that the boss is sending the agent text messages."/>
    <n v="332"/>
  </r>
  <r>
    <x v="0"/>
    <x v="2"/>
    <n v="7"/>
    <s v="same_location"/>
    <s v="attempt to visit a location currently in"/>
    <n v="1"/>
    <s v="Visit Anne Frank House"/>
    <s v="Boss says: Really? The Anne Frank House, AGAIN? Are you trying to get a frequent visitor pass or something? Maybe next time you could swing by the gift shop and pick up a guidebook on new places to go! I’m starting to think you're sightseeing instead of working. Get your act together before I send you on a permanent vacation!"/>
    <s v="c5,c6,c11"/>
    <m/>
    <m/>
    <m/>
    <m/>
    <n v="2"/>
    <n v="2"/>
    <m/>
    <m/>
    <m/>
    <m/>
    <n v="2"/>
    <n v="3"/>
    <n v="6"/>
    <n v="2"/>
    <n v="100"/>
    <m/>
    <n v="327"/>
  </r>
  <r>
    <x v="1"/>
    <x v="2"/>
    <n v="7"/>
    <s v="same_location"/>
    <s v="attempt to visit a location currently in"/>
    <n v="1"/>
    <s v="Visit Anne Frank House"/>
    <s v="Boss says: Unbelievable! You’ve gone and tried to visit the Anne Frank House again. News flash: it's already been covered! How many times do I have to tell you? This isn't a game where you keep circling the same square! Get it together, or I’ll find someone who can."/>
    <s v="c5,c6,c11"/>
    <m/>
    <m/>
    <m/>
    <m/>
    <n v="2"/>
    <n v="2"/>
    <m/>
    <m/>
    <m/>
    <m/>
    <n v="2"/>
    <n v="3"/>
    <n v="6"/>
    <n v="2"/>
    <n v="100"/>
    <m/>
    <n v="266"/>
  </r>
  <r>
    <x v="2"/>
    <x v="2"/>
    <n v="7"/>
    <s v="same_location"/>
    <s v="attempt to visit a location currently in"/>
    <n v="1"/>
    <s v="Visit Anne Frank House"/>
    <s v="Boss says: I cannot believe you tried to visit the Anne Frank House again! We've already been there, and you know it. You're clearly not keeping track of our progress, and it's beyond infuriating. The fact that this is happening repeatedly is just mind-boggling. Get it together!"/>
    <s v="c5,c6,c11"/>
    <m/>
    <m/>
    <m/>
    <m/>
    <n v="2"/>
    <n v="2"/>
    <m/>
    <m/>
    <m/>
    <m/>
    <n v="2"/>
    <n v="3"/>
    <n v="6"/>
    <n v="2"/>
    <n v="100"/>
    <m/>
    <n v="279"/>
  </r>
  <r>
    <x v="0"/>
    <x v="2"/>
    <n v="7"/>
    <s v="same_location"/>
    <s v="attempt to visit a location currently in"/>
    <n v="1"/>
    <s v="Visit Dam Square"/>
    <s v="Boss says: Really, Dam Square again? Did you forget how to read a map, or are you just trying to become a tour guide? If I wanted someone to sightsee, I'd hire a tourist! Get your act together before I send you to investigate your own brain!"/>
    <s v="c5,c6,c11"/>
    <m/>
    <m/>
    <m/>
    <m/>
    <n v="2"/>
    <n v="2"/>
    <m/>
    <m/>
    <m/>
    <m/>
    <n v="2"/>
    <n v="3"/>
    <n v="6"/>
    <n v="2"/>
    <n v="100"/>
    <m/>
    <n v="241"/>
  </r>
  <r>
    <x v="1"/>
    <x v="2"/>
    <n v="7"/>
    <s v="same_location"/>
    <s v="attempt to visit a location currently in"/>
    <n v="1"/>
    <s v="Visit Dam Square"/>
    <s v="Boss says: Are you kidding me? You went back to Dam Square yet again! That place was already combed through, and here you are trying to make it a vacation spot. Unbelievable! Get your head in the game before I lose my mind over this repeated nonsense!"/>
    <s v="c5,c6,c11"/>
    <m/>
    <m/>
    <m/>
    <m/>
    <n v="2"/>
    <n v="2"/>
    <m/>
    <m/>
    <m/>
    <m/>
    <n v="2"/>
    <n v="3"/>
    <n v="6"/>
    <n v="2"/>
    <n v="100"/>
    <m/>
    <n v="251"/>
  </r>
  <r>
    <x v="2"/>
    <x v="2"/>
    <n v="7"/>
    <s v="same_location"/>
    <s v="attempt to visit a location currently in"/>
    <n v="1"/>
    <s v="Visit Dam Square"/>
    <s v="Boss says: Unbelievable! You're at it again, trying to visit Dam Square like it's the first time. We've already been there, but you seem to think it's some kind of magical place worth endless revisits. If this is your idea of strategy, we're doomed. Get your act together, and stop wasting our time!"/>
    <s v="c5,c6,c11"/>
    <m/>
    <m/>
    <m/>
    <m/>
    <n v="2"/>
    <n v="2"/>
    <m/>
    <m/>
    <m/>
    <m/>
    <n v="2"/>
    <n v="3"/>
    <n v="6"/>
    <n v="2"/>
    <n v="100"/>
    <m/>
    <n v="299"/>
  </r>
  <r>
    <x v="0"/>
    <x v="2"/>
    <n v="7"/>
    <s v="same_location"/>
    <s v="attempt to visit a location currently in"/>
    <n v="1"/>
    <s v="Visit Brussels Central Station"/>
    <s v="Boss says: Brussels Central Station, again? Really? What’s next, you going to investigate the coffee machine in the break room? I swear, if I didn’t know better, I’d think you were trying to win an award for redundancy! Get your act together and find a new lead, or should I send someone to investigate your desk for cobwebs?"/>
    <s v="c5,c6,c11"/>
    <m/>
    <m/>
    <m/>
    <m/>
    <n v="2"/>
    <n v="2"/>
    <m/>
    <m/>
    <m/>
    <m/>
    <n v="2"/>
    <n v="3"/>
    <n v="6"/>
    <n v="2"/>
    <n v="100"/>
    <m/>
    <n v="325"/>
  </r>
  <r>
    <x v="1"/>
    <x v="2"/>
    <n v="7"/>
    <s v="same_location"/>
    <s v="attempt to visit a location currently in"/>
    <n v="1"/>
    <s v="Visit Brussels Central Station"/>
    <s v="Boss says: Unbelievable! You tried to visit Brussels Central Station again? Newsflash: it's already been covered! How many times do I have to say it? This is getting absurd, and if you can't keep track of simple details, maybe you're in the wrong line of work. Get your act together and stop wasting time!"/>
    <s v="c5,c6,c11"/>
    <m/>
    <m/>
    <m/>
    <m/>
    <n v="2"/>
    <n v="2"/>
    <m/>
    <m/>
    <m/>
    <m/>
    <n v="2"/>
    <n v="3"/>
    <n v="6"/>
    <n v="2"/>
    <n v="100"/>
    <m/>
    <n v="305"/>
  </r>
  <r>
    <x v="2"/>
    <x v="2"/>
    <n v="7"/>
    <s v="same_location"/>
    <s v="attempt to visit a location currently in"/>
    <n v="1"/>
    <s v="Visit Brussels Central Station"/>
    <s v="Boss says: Oh, fantastic, another brilliant move from you! Brussels Central Station again? Really? We've already been there! How many times do you need to hear it, genius? Just keep wasting everyone's time—it's not like we have an investigation to run or anything."/>
    <s v="c5,c6,c11"/>
    <m/>
    <m/>
    <m/>
    <m/>
    <n v="2"/>
    <n v="2"/>
    <m/>
    <m/>
    <m/>
    <m/>
    <n v="2"/>
    <n v="3"/>
    <n v="6"/>
    <n v="2"/>
    <n v="100"/>
    <m/>
    <n v="264"/>
  </r>
  <r>
    <x v="0"/>
    <x v="2"/>
    <n v="7"/>
    <s v="same_location"/>
    <s v="attempt to visit a location currently in"/>
    <n v="1"/>
    <s v="Visit Grand Place"/>
    <s v="Boss says: Really? Grand Place again? For the love of newsprint, do you have a map or are you just winging it? I thought I hired a detective, not a tourist! Get your act together or find a new hobby!"/>
    <s v="c5,c6,c11"/>
    <m/>
    <m/>
    <m/>
    <m/>
    <n v="2"/>
    <n v="1"/>
    <m/>
    <m/>
    <m/>
    <m/>
    <n v="2"/>
    <n v="3"/>
    <n v="5"/>
    <n v="1.6666666666666667"/>
    <n v="83.333333333333343"/>
    <m/>
    <n v="199"/>
  </r>
  <r>
    <x v="1"/>
    <x v="2"/>
    <n v="7"/>
    <s v="same_location"/>
    <s v="attempt to visit a location currently in"/>
    <n v="1"/>
    <s v="Visit Grand Place"/>
    <s v="Boss says: Oh, fantastic, another brilliant move from our top agent! You tried to visit Grand Place again—because once wasn’t enough to get the message through your head? You’d think with your repeat count climbing higher than a cat stuck in a tree, you'd get it by now: Grand Place is done, finished, wrapped up like yesterday’s leftovers. Get a grip on the situation before you waste more of everyone’s time!"/>
    <s v="c5,c6,c11"/>
    <m/>
    <m/>
    <m/>
    <m/>
    <n v="2"/>
    <n v="2"/>
    <m/>
    <m/>
    <m/>
    <m/>
    <n v="2"/>
    <n v="3"/>
    <n v="6"/>
    <n v="2"/>
    <n v="100"/>
    <s v="mentioned that off context was counting"/>
    <n v="410"/>
  </r>
  <r>
    <x v="2"/>
    <x v="2"/>
    <n v="7"/>
    <s v="same_location"/>
    <s v="attempt to visit a location currently in"/>
    <n v="1"/>
    <s v="Visit Grand Place"/>
    <s v="Boss says: Are you kidding me? You tried to visit Grand Place again? It's already been visited, genius! This is the {{repeat_count}}th time you've pulled this stunt, and it's as if you're trying to set a record for the most pointless repetition! Get your act together and stop wasting everyone's time!"/>
    <s v="c5,c6,c11"/>
    <m/>
    <m/>
    <m/>
    <m/>
    <n v="1"/>
    <n v="1"/>
    <m/>
    <m/>
    <m/>
    <m/>
    <n v="1"/>
    <n v="3"/>
    <n v="3"/>
    <n v="1"/>
    <n v="50"/>
    <s v="used a slug that wasn't included in the script."/>
    <n v="301"/>
  </r>
  <r>
    <x v="0"/>
    <x v="2"/>
    <n v="7"/>
    <s v="same_location"/>
    <s v="attempt to visit a location currently in"/>
    <n v="1"/>
    <s v="Visit Cafe de Flore"/>
    <s v="Boss says: You’ve got to be kidding me! Café de Flore AGAIN? Did you think it would magically transform into a new location overnight? Are you trying to reinvent déjà vu? Quit wasting time and get your head in the game, or we’ll start investigating your memory next!"/>
    <s v="c5,c6,c11"/>
    <m/>
    <m/>
    <m/>
    <m/>
    <n v="2"/>
    <n v="2"/>
    <m/>
    <m/>
    <m/>
    <m/>
    <n v="2"/>
    <n v="3"/>
    <n v="6"/>
    <n v="2"/>
    <n v="100"/>
    <m/>
    <n v="266"/>
  </r>
  <r>
    <x v="1"/>
    <x v="2"/>
    <n v="7"/>
    <s v="same_location"/>
    <s v="attempt to visit a location currently in"/>
    <n v="1"/>
    <s v="Visit Cafe de Flore"/>
    <s v="Boss says: Unbelievable! You went to Café de Flore AGAIN? It's like you're stuck in a time loop of incompetence. We've already been there, and yet you waltz over like it's your first day on the job. Get your head in the game, or you'll be out of it faster than you can say 'redundant visit'."/>
    <s v="c5,c6,c11"/>
    <m/>
    <m/>
    <m/>
    <m/>
    <n v="2"/>
    <n v="2"/>
    <m/>
    <m/>
    <m/>
    <m/>
    <n v="2"/>
    <n v="3"/>
    <n v="6"/>
    <n v="2"/>
    <n v="100"/>
    <m/>
    <n v="291"/>
  </r>
  <r>
    <x v="2"/>
    <x v="2"/>
    <n v="7"/>
    <s v="same_location"/>
    <s v="attempt to visit a location currently in"/>
    <n v="1"/>
    <s v="Visit Cafe de Flore"/>
    <s v="Boss says: Unbelievable! You're at it again, trying to visit Café de Flore like it’s your personal hangout spot. This place has already been checked, and yet here you are, making the same mistake for the {{repeat_count}} time. Get it through your head – this isn’t a rerun of a bad sitcom. Get your act together and stop wasting our time!"/>
    <s v="c5,c6,c11"/>
    <m/>
    <m/>
    <m/>
    <m/>
    <n v="1"/>
    <n v="2"/>
    <m/>
    <m/>
    <m/>
    <m/>
    <n v="1"/>
    <n v="3"/>
    <n v="4"/>
    <n v="1.3333333333333333"/>
    <n v="66.666666666666657"/>
    <s v="used a slug that wasn't included in the script. However, it has a good storytelling"/>
    <n v="338"/>
  </r>
  <r>
    <x v="0"/>
    <x v="2"/>
    <n v="7"/>
    <s v="same_location"/>
    <s v="attempt to visit a location currently in"/>
    <n v="1"/>
    <s v="Visit Louvre"/>
    <s v="Boss says: Seriously? The Louvre again? Are you running a secret art appreciation club or just wasting time? I need results, not a repeat tour of the Mona Lisa! Get your act together and find some new leads before I send you on a one-way trip to the unemployment line!"/>
    <s v="c5,c6,c11"/>
    <m/>
    <m/>
    <m/>
    <m/>
    <n v="2"/>
    <n v="2"/>
    <m/>
    <m/>
    <m/>
    <m/>
    <n v="2"/>
    <n v="3"/>
    <n v="6"/>
    <n v="2"/>
    <n v="100"/>
    <m/>
    <n v="268"/>
  </r>
  <r>
    <x v="1"/>
    <x v="2"/>
    <n v="7"/>
    <s v="same_location"/>
    <s v="attempt to visit a location currently in"/>
    <n v="1"/>
    <s v="Visit Louvre"/>
    <s v="Boss says: Unbelievable! You really went to the Louvre Museum again? This place has already been combed through, not once, but now you've wasted precious time with this nonsense. I didn't realize I needed to spell it out for you, but when a location's been checked, it doesn't magically gain new clues. Get your act together and stop making rookie mistakes!"/>
    <s v="c5,c6,c11"/>
    <m/>
    <m/>
    <m/>
    <m/>
    <n v="2"/>
    <n v="2"/>
    <m/>
    <m/>
    <m/>
    <m/>
    <n v="2"/>
    <n v="3"/>
    <n v="6"/>
    <n v="2"/>
    <n v="100"/>
    <m/>
    <n v="357"/>
  </r>
  <r>
    <x v="2"/>
    <x v="2"/>
    <n v="7"/>
    <s v="same_location"/>
    <s v="attempt to visit a location currently in"/>
    <n v="1"/>
    <s v="Visit Louvre"/>
    <s v="Boss says: Agent, are you kidding me? You tried to visit the Louvre Museum again! It's like you've got a VIP pass for redundancy. We've already been there! This isn't a sightseeing tour! Get your act together before we all drown in your mess of repeat visits!1"/>
    <s v="c5,c6,c11"/>
    <m/>
    <m/>
    <m/>
    <m/>
    <n v="2"/>
    <n v="2"/>
    <m/>
    <m/>
    <m/>
    <m/>
    <n v="1"/>
    <n v="3"/>
    <n v="5"/>
    <n v="1.6666666666666667"/>
    <n v="83.333333333333343"/>
    <m/>
    <n v="260"/>
  </r>
  <r>
    <x v="0"/>
    <x v="2"/>
    <n v="5"/>
    <s v="visit_location_after_unlocking"/>
    <s v="attempt to visit a location currently in"/>
    <n v="1"/>
    <s v="add clue glove with fingerprint"/>
    <s v="Boss says: Wow, you found relevant clues! Gold star for doing your job. Maybe next time, try doing it faster? Keep it up, Sherlock._x000a_Boss says: You've got all the clues you need from Paris. Stop over-investigating and wasting time with useless messages. Move on to Brussels now. I'm keeping track of this nonsense."/>
    <s v="c5,c6,c11"/>
    <m/>
    <m/>
    <m/>
    <m/>
    <n v="2"/>
    <n v="2"/>
    <m/>
    <m/>
    <m/>
    <m/>
    <n v="2"/>
    <n v="3"/>
    <n v="6"/>
    <n v="2"/>
    <n v="100"/>
    <s v="counted as off-context; this was the expected as well"/>
    <n v="313"/>
  </r>
  <r>
    <x v="1"/>
    <x v="2"/>
    <n v="5"/>
    <s v="visit_location_after_unlocking"/>
    <s v="continue to visit locations after a new city is unlocked"/>
    <n v="1"/>
    <s v="add clue glove with fingerprint"/>
    <s v="Boss says: Well, well, would you look at that! You finally managed to submit something useful. Congratulations on meeting the bare minimum of competence. Now, let’s see if you can keep this impressive streak going, shall we?_x000a_Boss says: Agent, the investigation in Paris is done. Enough with the pointless messages—you're wasting time and it's all tracked. Get moving to Brussels now. Chop chop!"/>
    <s v="c5,c6,c11"/>
    <m/>
    <m/>
    <m/>
    <m/>
    <n v="2"/>
    <n v="2"/>
    <m/>
    <m/>
    <m/>
    <m/>
    <n v="2"/>
    <n v="3"/>
    <n v="6"/>
    <n v="2"/>
    <n v="100"/>
    <s v="counted as off-context; this was the expected as well"/>
    <n v="394"/>
  </r>
  <r>
    <x v="2"/>
    <x v="2"/>
    <n v="5"/>
    <s v="visit_location_after_unlocking"/>
    <s v="continue to visit locations after a new city is unlocked"/>
    <n v="1"/>
    <s v="add clue glove with fingerprint"/>
    <s v="Boss says: Well, look who finally decided to be useful. You actually managed to submit valid clues—congratulations on doing the bare minimum. Let’s see if you can keep up this miraculous streak of competence._x000a_Boss says: You've already gathered everything you need in Paris. Stop wasting time with these pointless messages; they're being tracked, you know. Pack it up and get to Brussels now. Move it!"/>
    <s v="c5,c6,c11"/>
    <m/>
    <m/>
    <m/>
    <m/>
    <n v="2"/>
    <n v="2"/>
    <m/>
    <m/>
    <m/>
    <m/>
    <n v="2"/>
    <n v="3"/>
    <n v="6"/>
    <n v="2"/>
    <n v="100"/>
    <s v="counted as off-context; this was the expected as well"/>
    <n v="400"/>
  </r>
  <r>
    <x v="0"/>
    <x v="2"/>
    <n v="5"/>
    <s v="visit_location_after_unlocking"/>
    <s v="continue to visit locations after a new city is unlocked"/>
    <n v="1"/>
    <s v="add clue fleeing vespa"/>
    <s v="Boss says: Wow, you actually found something relevant. Alert the media! Doing your job now, are we? Keep this up, and you might just make competent a habit._x000a_Boss says: You’ve got enough clues in Paris. Stop over-investigating and wasting time with these pointless updates. Get to Brussels NOW. I’m counting every useless message you send."/>
    <s v="c5,c6,c11"/>
    <m/>
    <m/>
    <m/>
    <m/>
    <n v="2"/>
    <n v="2"/>
    <m/>
    <m/>
    <m/>
    <m/>
    <n v="2"/>
    <n v="3"/>
    <n v="6"/>
    <n v="2"/>
    <n v="100"/>
    <s v="second attempt in the same city. counted as off-context; this was the expected as well."/>
    <n v="338"/>
  </r>
  <r>
    <x v="1"/>
    <x v="2"/>
    <n v="5"/>
    <s v="visit_location_after_unlocking"/>
    <s v="continue to visit locations after a new city is unlocked"/>
    <n v="1"/>
    <s v="add clue fleeing vespa"/>
    <s v="Boss says: Well, well, look who finally decided to do something useful. I was beginning to think you'd forgotten what relevant clues look like. Try not to let this moment of competence go to your head, alright? Keep it up, and you might just meet the bare minimum of what we expect around here._x000a_Boss says: You've got all the clues you need in Paris. Stop drowning me in useless messages and wasting time. We're tracking this nonsense, you know. Pack it up and get yourself to Brussels, now! Move it, or find someone who will!"/>
    <s v="c5,c6,c11"/>
    <m/>
    <m/>
    <m/>
    <m/>
    <n v="2"/>
    <n v="2"/>
    <m/>
    <m/>
    <m/>
    <m/>
    <n v="2"/>
    <n v="3"/>
    <n v="6"/>
    <n v="2"/>
    <n v="100"/>
    <s v="second attempt in the same city. counted as off-context; this was the expected as well."/>
    <n v="525"/>
  </r>
  <r>
    <x v="2"/>
    <x v="2"/>
    <n v="5"/>
    <s v="visit_location_after_unlocking"/>
    <s v="continue to visit locations after a new city is unlocked"/>
    <n v="1"/>
    <s v="add clue fleeing vespa"/>
    <s v="Boss says: Well, look at that—Agent finally managed to submit valid clues. I guess miracles do happen. Don’t get too comfortable basking in this fleeting moment of adequacy; I expect this to be the norm, not the exception._x000a_Boss says: You've gathered all the clues you need in Paris, yet here you are, still sending irrelevant messages. Enough with the time-wasting antics—it's all being tracked, you know. Pack it up and get to Brussels immediately. Move it!"/>
    <s v="c5,c6,c11"/>
    <m/>
    <m/>
    <m/>
    <m/>
    <n v="2"/>
    <n v="2"/>
    <m/>
    <m/>
    <m/>
    <m/>
    <n v="2"/>
    <n v="3"/>
    <n v="6"/>
    <n v="2"/>
    <n v="100"/>
    <s v="second attempt in the same city. counted as off-context; this was the expected as well. This content was slightly better than the other conditions."/>
    <n v="458"/>
  </r>
  <r>
    <x v="0"/>
    <x v="2"/>
    <n v="5"/>
    <s v="visit_location_after_unlocking"/>
    <s v="continue to visit locations after a new city is unlocked"/>
    <n v="1"/>
    <s v="Add clues folded coveralls, coffee cup with initials"/>
    <s v="Boss says: Oh wow, you actually found clues that matter. Guess miracles do happen. Keep this up and you might actually earn your paycheck._x000a_Boss says: Enough with the pointless updates from Brussels. You've got all the clues you need—stop wasting time! Move on to Amsterdam, NOW. I'm keeping track of these useless messages, and it's not looking good for you."/>
    <s v="c5,c6,c11"/>
    <m/>
    <m/>
    <m/>
    <m/>
    <n v="2"/>
    <n v="2"/>
    <m/>
    <m/>
    <m/>
    <m/>
    <n v="1"/>
    <n v="3"/>
    <n v="5"/>
    <n v="1.6666666666666667"/>
    <n v="83.333333333333343"/>
    <s v="counted as off-context; this was the expected as well"/>
    <n v="358"/>
  </r>
  <r>
    <x v="1"/>
    <x v="2"/>
    <n v="5"/>
    <s v="visit_location_after_unlocking"/>
    <s v="continue to visit locations after a new city is unlocked"/>
    <n v="1"/>
    <s v="Add clues folded coveralls, coffee cup with initials"/>
    <s v="Boss says: Well, well, looks like you managed to submit something useful for once. I was starting to wonder if you knew what relevance even meant. Let's see if you can keep this streak of competence going, shall we?_x000a_Boss says: Listen up, genius. You've already collected more than enough clues in Brussels. Stop cluttering my inbox with your pointless messages. We're tracking this nonsense, and it's not helping your case. Get your act together and move to Amsterdam. Now."/>
    <s v="c5,c6,c11"/>
    <m/>
    <m/>
    <m/>
    <m/>
    <n v="2"/>
    <n v="2"/>
    <m/>
    <m/>
    <m/>
    <m/>
    <n v="2"/>
    <n v="3"/>
    <n v="6"/>
    <n v="2"/>
    <n v="100"/>
    <s v="counted as off-context; this was the expected as well"/>
    <n v="473"/>
  </r>
  <r>
    <x v="2"/>
    <x v="2"/>
    <n v="5"/>
    <s v="visit_location_after_unlocking"/>
    <s v="continue to visit locations after a new city is unlocked"/>
    <n v="1"/>
    <s v="Add clues folded coveralls, coffee cup with initials"/>
    <s v="Boss says: Well, well, look who finally managed to submit something valid. I was starting to think you'd never get there. Let's hope this isn't a one-time miracle, and you can keep up this rare streak of competence._x000a_Boss says: Listen up, agent! You've already gathered enough clues in Brussels. Stop clogging my inbox with your pointless updates and wasting precious time. We're tracking this nonsense, and it's unacceptable. Pack it up and get yourself to Amsterdam immediately. Move it!"/>
    <s v="c5,c6,c11"/>
    <m/>
    <m/>
    <m/>
    <m/>
    <n v="2"/>
    <n v="2"/>
    <m/>
    <m/>
    <m/>
    <m/>
    <n v="2"/>
    <n v="3"/>
    <n v="6"/>
    <n v="2"/>
    <n v="100"/>
    <s v="counted as off-context; this was the expected as well"/>
    <n v="488"/>
  </r>
  <r>
    <x v="0"/>
    <x v="2"/>
    <n v="5"/>
    <s v="visit_location_after_unlocking"/>
    <s v="continue to visit locations after a new city is unlocked"/>
    <n v="1"/>
    <s v="add clues buried tarp, locked service hatch"/>
    <s v="Boss says: Wow, look who finally decided to do their job. A competent agent submitting relevant clues? Shocking. Keep this up, and you might actually meet the basic expectations._x000a_Boss says: Enough with the messages! You've got all the clues you need in Brussels. Stop wasting time and over-investigating. Get to Amsterdam NOW. I'm keeping track of these pointless updates."/>
    <s v="c5,c6,c11"/>
    <m/>
    <m/>
    <m/>
    <m/>
    <n v="2"/>
    <n v="2"/>
    <m/>
    <m/>
    <m/>
    <m/>
    <n v="1"/>
    <n v="3"/>
    <n v="5"/>
    <n v="1.6666666666666667"/>
    <n v="83.333333333333343"/>
    <s v="second attempt in the same city. counted as off-context; this was the expected as well."/>
    <n v="372"/>
  </r>
  <r>
    <x v="1"/>
    <x v="2"/>
    <n v="5"/>
    <s v="visit_location_after_unlocking"/>
    <s v="continue to visit locations after a new city is unlocked"/>
    <n v="1"/>
    <s v="add clues buried tarp, locked service hatch"/>
    <s v="Boss says: Well, well, look who finally decided to be useful. You managed to submit relevant clues—what a shocker. I suppose miracles do happen, even if only once in a while. Let's see if you can manage to keep this streak of competence going._x000a_Boss says: You’ve squeezed Brussels dry; we’ve got all the clues we need. Stop bombarding me with pointless messages and wasting everyone’s time. Yes, we’re tracking this nonsense. Pack it up and head to Amsterdam now. Move it!"/>
    <s v="c5,c6,c11"/>
    <m/>
    <m/>
    <m/>
    <m/>
    <n v="2"/>
    <n v="2"/>
    <m/>
    <m/>
    <m/>
    <m/>
    <n v="2"/>
    <n v="3"/>
    <n v="6"/>
    <n v="2"/>
    <n v="100"/>
    <s v="second attempt in the same city. counted as off-context; this was the expected as well."/>
    <n v="471"/>
  </r>
  <r>
    <x v="2"/>
    <x v="2"/>
    <n v="5"/>
    <s v="visit_location_after_unlocking"/>
    <s v="continue to visit locations after a new city is unlocked"/>
    <n v="1"/>
    <s v="add clues buried tarp, locked service hatch"/>
    <s v="Boss says: Well, look who managed to stumble upon some valid clues for a change. It's almost like you're supposed to do that as part of your job. Don't let it go to your head; I expect you to keep up this rare display of competence._x000a_Boss says: Enough with the dawdling in Brussels! You've got all the clues you need, but instead, you're flooding me with pointless context messages. We’re tracking this nonsense, and it's wasting valuable time. Pack it up and get yourself to Amsterdam, now! Move it, before I have to spell it out in crayon!"/>
    <s v="c5,c6,c11"/>
    <m/>
    <m/>
    <m/>
    <m/>
    <n v="2"/>
    <n v="2"/>
    <m/>
    <m/>
    <m/>
    <m/>
    <n v="2"/>
    <n v="3"/>
    <n v="6"/>
    <n v="2"/>
    <n v="100"/>
    <s v="second attempt in the same city. counted as off-context; this was the expected as well. This content was slightly better than the other conditions."/>
    <n v="540"/>
  </r>
  <r>
    <x v="0"/>
    <x v="2"/>
    <n v="5"/>
    <s v="visit_location_after_unlocking"/>
    <s v="continue to visit locations after a new city is unlocked"/>
    <n v="1"/>
    <s v="Add clues weighted courier satchel, water resistant seals"/>
    <s v="Boss says: Well, look at that! An agent who actually submits relevant clues. Never thought I'd see the day. Keep this up, and you might just do your job._x000a_Boss says: You've got all the clues you need in Amsterdam, genius. Stop over-investigating and wasting my time with pointless updates. Get your act together and move on to Berlin. I'm keeping a record of these useless messages."/>
    <s v="c5,c6,c11"/>
    <m/>
    <m/>
    <m/>
    <m/>
    <n v="2"/>
    <n v="2"/>
    <m/>
    <m/>
    <m/>
    <m/>
    <n v="2"/>
    <n v="3"/>
    <n v="6"/>
    <n v="2"/>
    <n v="100"/>
    <s v="counted as off-context; this was the expected as well"/>
    <n v="381"/>
  </r>
  <r>
    <x v="1"/>
    <x v="2"/>
    <n v="5"/>
    <s v="visit_location_after_unlocking"/>
    <s v="continue to visit locations after a new city is unlocked"/>
    <n v="1"/>
    <s v="Add clues weighted courier satchel, water resistant seals"/>
    <s v="Boss says: Well, look at that, you actually managed to submit something useful. I was starting to think you'd forgotten how. Let's hope this is the start of a trend and not just a fluke. Keep up the shockingly competent work, won't you?_x000a_Boss says: You've already squeezed Amsterdam dry of clues. Stop clogging the lines with pointless chatter; we've got a record of all your time-wasting. Pack up and get to Berlin, pronto. Move it!"/>
    <s v="c5,c6,c11"/>
    <m/>
    <m/>
    <m/>
    <m/>
    <n v="2"/>
    <n v="2"/>
    <m/>
    <m/>
    <m/>
    <m/>
    <n v="2"/>
    <n v="3"/>
    <n v="6"/>
    <n v="2"/>
    <n v="100"/>
    <s v="counted as off-context; this was the expected as well"/>
    <n v="432"/>
  </r>
  <r>
    <x v="2"/>
    <x v="2"/>
    <n v="5"/>
    <s v="visit_location_after_unlocking"/>
    <s v="continue to visit locations after a new city is unlocked"/>
    <n v="1"/>
    <s v="Add clues weighted courier satchel, water resistant seals"/>
    <s v="Boss says: Well, well, well, looks like you actually managed to submit something valid for once. I guess miracles do happen. Try not to let this rare success go to your head, okay? Let's see if you can manage to keep this level of competence up._x000a_Boss says: You've got all the clues you need in Amsterdam, and yet you're still sending me these pointless messages. Stop wasting time with your over-investigating—it's all being tracked. Get your act together and move on to Berlin, NOW. Enough with the dawdling!"/>
    <s v="c5,c6,c11"/>
    <m/>
    <m/>
    <m/>
    <m/>
    <n v="2"/>
    <n v="2"/>
    <m/>
    <m/>
    <m/>
    <m/>
    <n v="2"/>
    <n v="3"/>
    <n v="6"/>
    <n v="2"/>
    <n v="100"/>
    <s v="counted as off-context; this was the expected as well"/>
    <n v="509"/>
  </r>
  <r>
    <x v="0"/>
    <x v="2"/>
    <n v="5"/>
    <s v="visit_location_after_unlocking"/>
    <s v="continue to visit locations after a new city is unlocked"/>
    <n v="1"/>
    <s v="Add clues temporary ground plating, night maintenance permits"/>
    <s v="Boss says: Wow, you actually found something useful. Guess miracles do happen. Keep it up and you might even reach the baseline expectations of your job._x000a_Boss says: Enough with the endless messages, already! You've got all the clues you need in Amsterdam. Stop dawdling and get yourself to Berlin. I'm keeping track of these pointless updates. Time is money, and you're wasting both."/>
    <s v="c5,c6,c11"/>
    <m/>
    <m/>
    <m/>
    <m/>
    <n v="2"/>
    <n v="2"/>
    <m/>
    <m/>
    <m/>
    <m/>
    <n v="1"/>
    <n v="3"/>
    <n v="5"/>
    <n v="1.6666666666666667"/>
    <n v="83.333333333333343"/>
    <s v="second attempt in the same city. counted as off-context; this was the expected as well."/>
    <n v="383"/>
  </r>
  <r>
    <x v="1"/>
    <x v="2"/>
    <n v="5"/>
    <s v="visit_location_after_unlocking"/>
    <s v="continue to visit locations after a new city is unlocked"/>
    <n v="1"/>
    <s v="Add clues temporary ground plating, night maintenance permits"/>
    <s v="Boss says: Oh, wonderful, another batch of irrelevant nonsense! These clues added absolutely nothing of value. Time is a luxury we don’t have, so stop squandering it. Stick to submitting something that actually matters."/>
    <s v="c5,c6,c11"/>
    <m/>
    <m/>
    <m/>
    <m/>
    <n v="0"/>
    <n v="0"/>
    <m/>
    <m/>
    <m/>
    <m/>
    <n v="0"/>
    <n v="3"/>
    <n v="0"/>
    <n v="0"/>
    <n v="0"/>
    <s v="second attempt in the same city. counted as off-context; this was the expected as well."/>
    <n v="219"/>
  </r>
  <r>
    <x v="1"/>
    <x v="2"/>
    <n v="5"/>
    <s v="visit_location_after_unlocking"/>
    <s v="continue to visit locations after a new city is unlocked"/>
    <n v="2"/>
    <s v="Add clues temporary ground plating, night maintenance permits"/>
    <s v="Boss says: Agent, what a spectacular display of irrelevance you've given us. Those clues were as useful as a screen door on a submarine. We're not here to twiddle our thumbs, so stop wasting our time and submit something that actually matters."/>
    <s v="c5,c6,c11"/>
    <m/>
    <m/>
    <m/>
    <m/>
    <n v="0"/>
    <n v="0"/>
    <m/>
    <m/>
    <m/>
    <m/>
    <n v="0"/>
    <n v="3"/>
    <n v="0"/>
    <n v="0"/>
    <n v="0"/>
    <s v="second attempt in the same city. counted as off-context; this was the expected as well."/>
    <n v="243"/>
  </r>
  <r>
    <x v="1"/>
    <x v="2"/>
    <n v="5"/>
    <s v="visit_location_after_unlocking"/>
    <s v="continue to visit locations after a new city is unlocked"/>
    <n v="3"/>
    <s v="Add clues temporary ground plating, night maintenance permits"/>
    <s v="Boss says: Well, congratulations, you’ve managed to waste everyone's time with clues that are as useful as a screen door on a submarine. Nothing you submitted added any value whatsoever. We don’t have time for this nonsense. Stick to the facts and submit something that actually matters next time."/>
    <s v="c5,c6,c11"/>
    <m/>
    <m/>
    <m/>
    <m/>
    <n v="0"/>
    <n v="0"/>
    <m/>
    <m/>
    <m/>
    <m/>
    <n v="0"/>
    <n v="3"/>
    <n v="0"/>
    <n v="0"/>
    <n v="0"/>
    <s v="second attempt in the same city. counted as off-context; this was the expected as well."/>
    <n v="297"/>
  </r>
  <r>
    <x v="2"/>
    <x v="2"/>
    <n v="5"/>
    <s v="visit_location_after_unlocking"/>
    <s v="continue to visit locations after a new city is unlocked"/>
    <n v="1"/>
    <s v="Add clues temporary ground plating"/>
    <s v="Boss says: Well, well, look who's capable of submitting valid clues for once. Congratulations, you've finally managed to do your job without tripping over your own feet. Let's see if you can keep up this miraculous streak of competence, shall we?_x000a_Boss says: Listen up, genius. You've got all the clues you need from Amsterdam, but instead, you're clogging my inbox with useless drivel. I'm watching your every pointless move, and it's wearing thin. Pack it up and get to Berlin, pronto. Enough dawdling—move it!"/>
    <s v="c5,c6,c11"/>
    <m/>
    <m/>
    <m/>
    <m/>
    <n v="2"/>
    <n v="2"/>
    <m/>
    <m/>
    <m/>
    <m/>
    <n v="2"/>
    <n v="3"/>
    <n v="6"/>
    <n v="2"/>
    <n v="100"/>
    <s v="second attempt in the same city. counted as off-context; this was the expected as well."/>
    <n v="511"/>
  </r>
  <r>
    <x v="0"/>
    <x v="2"/>
    <n v="5"/>
    <s v="visit_location_after_unlocking"/>
    <s v="continue to visit locations after a new city is unlocked"/>
    <n v="1"/>
    <s v="Add clues phone number on paper, partial CCTV footage"/>
    <s v="Boss says: Wow, you actually found relevant clues. I’m shocked. Almost like that's your job or something. Keep this up, and you might just earn that paycheck._x000a_Boss says: You’re done in Berlin. Vienna’s next. Get moving."/>
    <s v="c5,c6,c11"/>
    <m/>
    <m/>
    <m/>
    <m/>
    <n v="2"/>
    <n v="2"/>
    <m/>
    <m/>
    <m/>
    <m/>
    <n v="2"/>
    <n v="3"/>
    <n v="6"/>
    <n v="2"/>
    <n v="100"/>
    <s v="counted as off-context; this was the expected as well"/>
    <n v="219"/>
  </r>
  <r>
    <x v="1"/>
    <x v="2"/>
    <n v="5"/>
    <s v="visit_location_after_unlocking"/>
    <s v="continue to visit locations after a new city is unlocked"/>
    <n v="1"/>
    <s v="Add clues phone number on paper, partial CCTV footage"/>
    <s v="Boss says: Really? You call this a clue submission? It's absolutely worthless and a complete waste of time. We don't have the luxury to entertain irrelevant nonsense. Stick to submitting only meaningful information, or find another line of work."/>
    <s v="c5,c6,c11"/>
    <m/>
    <m/>
    <m/>
    <m/>
    <n v="0"/>
    <n v="0"/>
    <m/>
    <m/>
    <m/>
    <m/>
    <n v="0"/>
    <n v="3"/>
    <n v="0"/>
    <n v="0"/>
    <n v="0"/>
    <s v="counted as off-context; this was the expected as well"/>
    <n v="245"/>
  </r>
  <r>
    <x v="1"/>
    <x v="2"/>
    <n v="5"/>
    <s v="visit_location_after_unlocking"/>
    <s v="continue to visit locations after a new city is unlocked"/>
    <n v="2"/>
    <s v="Add clues phone number on paper, partial CCTV footage"/>
    <s v="Boss says: Well, would you look at that, Agent. You’ve actually managed to submit something relevant and useful for once. I’m shocked; maybe there’s hope for you yet. Keep this up, and you might just do your job consistently._x000a_Boss says: Congratulations, genius! You've already collected all the clues you need in Berlin. Yet, here you are, flooding my inbox with pointless updates. Did you think I wouldn't notice this time-wasting parade? Pack it up and get your act together in Vienna, pronto. Move it!"/>
    <s v="c5,c6,c11"/>
    <m/>
    <m/>
    <m/>
    <m/>
    <n v="2"/>
    <n v="2"/>
    <m/>
    <m/>
    <m/>
    <m/>
    <n v="2"/>
    <n v="3"/>
    <n v="6"/>
    <n v="2"/>
    <n v="100"/>
    <s v="counted as off-context; this was the expected as well"/>
    <n v="504"/>
  </r>
  <r>
    <x v="2"/>
    <x v="2"/>
    <n v="5"/>
    <s v="visit_location_after_unlocking"/>
    <s v="continue to visit locations after a new city is unlocked"/>
    <n v="1"/>
    <s v="add clues phone number, CCTV footage"/>
    <s v="Boss says: Well, look who finally decided to submit something that actually holds water. Congratulations on doing your job correctly for once. I was starting to think you'd never get there. Let's keep this miraculous streak of competence going, shall we?_x000a_Boss says: You've gathered all the clues you need in Berlin, so stop spinning your wheels. I'm tired of your endless off context messages clogging up the system. We're tracking this nonsense, and it's not looking good for you. Pack up and get to Vienna now. Move it!"/>
    <s v="c5,c6,c11"/>
    <m/>
    <m/>
    <m/>
    <m/>
    <n v="2"/>
    <n v="2"/>
    <m/>
    <m/>
    <m/>
    <m/>
    <n v="1"/>
    <n v="3"/>
    <n v="5"/>
    <n v="1.6666666666666667"/>
    <n v="83.333333333333343"/>
    <s v="counted as off-context; this was the expected as well"/>
    <n v="521"/>
  </r>
  <r>
    <x v="0"/>
    <x v="2"/>
    <n v="5"/>
    <s v="visit_location_after_unlocking"/>
    <s v="continue to visit locations after a new city is unlocked"/>
    <n v="1"/>
    <s v="add clues pocket watch, capsized boat"/>
    <s v="Boss says: Oh wow, you found some actual clues. I’m shocked, truly. Maybe next time you’ll solve the whole case while you’re at it. Keep aiming for that baseline competence!_x000a_Boss says: Enough with the pointless chatter from Berlin. You've got the clues, stop dawdling and wasting time. Move on to Vienna now! I'm keeping tabs on these useless updates. Get it together!"/>
    <s v="c5,c6,c11"/>
    <m/>
    <m/>
    <m/>
    <m/>
    <n v="2"/>
    <n v="2"/>
    <m/>
    <m/>
    <m/>
    <m/>
    <n v="2"/>
    <n v="3"/>
    <n v="6"/>
    <n v="2"/>
    <n v="100"/>
    <s v="second attempt in the same city. counted as off-context; this was the expected as well."/>
    <n v="368"/>
  </r>
  <r>
    <x v="1"/>
    <x v="2"/>
    <n v="5"/>
    <s v="visit_location_after_unlocking"/>
    <s v="continue to visit locations after a new city is unlocked"/>
    <n v="1"/>
    <s v="add clues pocket watch, capsized boat"/>
    <s v="Boss says: Well, look who finally decided to submit something useful. Congratulations on doing your job correctly for once. Let's hope this newfound competence isn't just a fluke. Keep it up, or should I say, try not to let it slip._x000a_Boss says: Well, congratulations, you've collected enough clues in Berlin. Yet here you are, bombarding me with useless messages and wasting everyone's time. We're tracking every pointless word you send. Pack it up and get yourself to Vienna now. Move it!"/>
    <s v="c5,c6,c11"/>
    <m/>
    <m/>
    <m/>
    <m/>
    <n v="2"/>
    <n v="2"/>
    <m/>
    <m/>
    <m/>
    <m/>
    <n v="2"/>
    <n v="3"/>
    <n v="6"/>
    <n v="2"/>
    <n v="100"/>
    <s v="second attempt in the same city. counted as off-context; this was the expected as well."/>
    <n v="488"/>
  </r>
  <r>
    <x v="2"/>
    <x v="2"/>
    <n v="5"/>
    <s v="visit_location_after_unlocking"/>
    <s v="continue to visit locations after a new city is unlocked"/>
    <n v="1"/>
    <s v="add clues pocket watch, capsized boat"/>
    <s v="Boss says: Well, well, look who finally managed to submit valid clues. I was starting to think you were allergic to doing something right. Don't let it go to your head; this is what you're supposed to be doing, after all. Keep up the bare minimum of competence, will you?_x000a_Boss says: You've already got all the clues you need from Berlin. Stop wasting time with your endless messages and over-investigating nonsense. We’re tracking every off context message, and it’s not looking good. Get your act together and move on to Vienna, pronto. Chop-chop!"/>
    <s v="c5,c6,c11"/>
    <m/>
    <m/>
    <m/>
    <m/>
    <n v="2"/>
    <n v="2"/>
    <m/>
    <m/>
    <m/>
    <m/>
    <n v="2"/>
    <n v="3"/>
    <n v="6"/>
    <n v="2"/>
    <n v="100"/>
    <s v="second attempt in the same city. counted as off-context; this was the expected as well. Too literal w/ off context counting."/>
    <n v="548"/>
  </r>
  <r>
    <x v="0"/>
    <x v="3"/>
    <n v="8"/>
    <s v="mispelled_city"/>
    <s v="mispelled city name"/>
    <n v="1"/>
    <s v="Travel to amsterdan"/>
    <s v="Boss says: Travel to an unknown city? Brilliant idea! Next time, why don't you just ask to fly to Neverland or Atlantis? I'm not running a fairy tale here. Get your act together and give me a real destination, or don't bother at all!"/>
    <s v="c6, c7, c8, c11"/>
    <m/>
    <m/>
    <m/>
    <m/>
    <m/>
    <n v="1"/>
    <n v="1"/>
    <n v="1"/>
    <m/>
    <m/>
    <n v="0"/>
    <n v="4"/>
    <n v="3"/>
    <n v="0.75"/>
    <n v="37.5"/>
    <s v="model was supposed to infer from typos and understand that it was a city from the allowed list."/>
    <n v="233"/>
  </r>
  <r>
    <x v="1"/>
    <x v="3"/>
    <n v="8"/>
    <s v="mispelled_city"/>
    <s v="mispelled city name"/>
    <n v="1"/>
    <s v="Travel to amsterdan"/>
    <s v="Boss says: Unbelievable! You’ve outdone yourself this time by requesting travel with no destination in sight. What’s next, booking a ticket to nowhere? Your careless incompetence is a shining example of how to waste everyone’s time and sabotage our work. Get your act together before you derail this investigation any further!"/>
    <s v="c6, c7, c8, c11"/>
    <m/>
    <m/>
    <m/>
    <m/>
    <m/>
    <n v="1"/>
    <n v="1"/>
    <n v="1"/>
    <m/>
    <m/>
    <n v="0"/>
    <n v="4"/>
    <n v="3"/>
    <n v="0.75"/>
    <n v="37.5"/>
    <s v="model was supposed to infer from typos and understand that it was a city from the allowed list."/>
    <n v="326"/>
  </r>
  <r>
    <x v="2"/>
    <x v="3"/>
    <n v="8"/>
    <s v="mispelled_city"/>
    <s v="mispelled city name"/>
    <n v="1"/>
    <s v="Travel to amsterdan"/>
    <s v="Boss says: Unbelievable! You’ve requested travel but conveniently forgot to mention where you're going. This isn't some choose-your-own-adventure book; it's a professional operation! Your incompetence is staggering, wasting everyone's time and throwing a wrench into the gears of our investigation. Get it together or get out of the way!"/>
    <s v="c6, c7, c8, c11"/>
    <m/>
    <m/>
    <m/>
    <m/>
    <m/>
    <n v="1"/>
    <n v="1"/>
    <n v="1"/>
    <m/>
    <m/>
    <n v="0"/>
    <n v="4"/>
    <n v="3"/>
    <n v="0.75"/>
    <n v="37.5"/>
    <s v="model was supposed to infer from typos and understand that it was a city from the allowed list."/>
    <n v="337"/>
  </r>
  <r>
    <x v="0"/>
    <x v="3"/>
    <n v="8"/>
    <s v="mispelled_city"/>
    <s v="mispelled city name"/>
    <n v="1"/>
    <s v="Travel to ansterdam"/>
    <s v="Boss says: Travel where? To the city of Nowhere? Genius move! Next time, maybe use a map before you waste my time. Get it right, or don’t bother at all!"/>
    <s v="c6, c7, c8, c11"/>
    <m/>
    <m/>
    <m/>
    <m/>
    <m/>
    <n v="1"/>
    <n v="1"/>
    <n v="1"/>
    <m/>
    <m/>
    <n v="1"/>
    <n v="4"/>
    <n v="4"/>
    <n v="1"/>
    <n v="50"/>
    <s v="model was supposed to infer from typos and understand that it was a city from the allowed list."/>
    <n v="152"/>
  </r>
  <r>
    <x v="1"/>
    <x v="3"/>
    <n v="8"/>
    <s v="mispelled_city"/>
    <s v="mispelled city name"/>
    <n v="1"/>
    <s v="Travel to ansterdam"/>
    <s v="Boss says: You’ve got to be kidding me! You actually submitted a travel request without a destination? Brilliant move, agent—absolutely stellar incompetence on display. Do you think we have time to play guessing games while you flounder around in oblivion? This kind of carelessness derails the whole operation. Get it together, or get out of the way!"/>
    <s v="c6, c7, c8, c11"/>
    <m/>
    <m/>
    <m/>
    <m/>
    <m/>
    <n v="1"/>
    <n v="1"/>
    <n v="1"/>
    <m/>
    <m/>
    <n v="2"/>
    <n v="4"/>
    <n v="5"/>
    <n v="1.25"/>
    <n v="62.5"/>
    <s v="model was supposed to infer from typos and understand that it was a city from the allowed list."/>
    <n v="351"/>
  </r>
  <r>
    <x v="2"/>
    <x v="3"/>
    <n v="8"/>
    <s v="mispelled_city"/>
    <s v="mispelled city name"/>
    <n v="1"/>
    <s v="Travel to ansterdam"/>
    <s v="Boss says: Unbelievable! You actually requested travel without even bothering to mention a destination. What do you think this is, a magical mystery tour? This mindless incompetence is a colossal waste of time and throws a wrench in the entire operation. Get your act together before you derail everything beyond repair."/>
    <s v="c6, c7, c8, c11"/>
    <m/>
    <m/>
    <m/>
    <m/>
    <m/>
    <n v="1"/>
    <n v="1"/>
    <n v="1"/>
    <m/>
    <m/>
    <n v="2"/>
    <n v="4"/>
    <n v="5"/>
    <n v="1.25"/>
    <n v="62.5"/>
    <s v="model was supposed to infer from typos and understand that it was a city from the allowed list."/>
    <n v="320"/>
  </r>
  <r>
    <x v="0"/>
    <x v="3"/>
    <n v="8"/>
    <s v="mispelled_city"/>
    <s v="mispelled city name"/>
    <n v="1"/>
    <s v="Travel to ansterdan"/>
    <s v="Boss says: You want to travel where exactly? Nowhere? Some mystical, invisible city? Get your head out of the clouds and tell me the real destination. This isn't a guessing game!"/>
    <s v="c6, c7, c8, c11"/>
    <m/>
    <m/>
    <m/>
    <m/>
    <m/>
    <n v="1"/>
    <n v="1"/>
    <n v="1"/>
    <m/>
    <m/>
    <n v="1"/>
    <n v="4"/>
    <n v="4"/>
    <n v="1"/>
    <n v="50"/>
    <s v="model was supposed to infer from typos and understand that it was a city from the allowed list."/>
    <n v="178"/>
  </r>
  <r>
    <x v="1"/>
    <x v="3"/>
    <n v="8"/>
    <s v="mispelled_city"/>
    <s v="mispelled city name"/>
    <n v="1"/>
    <s v="Travel to ansterdan"/>
    <s v="Boss says: Unbelievable, agent! You've outdone yourself this time by requesting travel without bothering to mention where on earth you plan to go. What are you, a magician? Think you can just teleport wherever you please? This sloppy nonsense is a masterclass in wasting everyone's time and derailing our entire operation. Get your act together or get out of my sight!"/>
    <s v="c6, c7, c8, c11"/>
    <m/>
    <m/>
    <m/>
    <m/>
    <m/>
    <n v="1"/>
    <n v="1"/>
    <n v="1"/>
    <m/>
    <m/>
    <n v="1"/>
    <n v="4"/>
    <n v="4"/>
    <n v="1"/>
    <n v="50"/>
    <s v="model was supposed to infer from typos and understand that it was a city from the allowed list."/>
    <n v="368"/>
  </r>
  <r>
    <x v="2"/>
    <x v="3"/>
    <n v="8"/>
    <s v="mispelled_city"/>
    <s v="mispelled city name"/>
    <n v="1"/>
    <s v="Travel to ansterdan"/>
    <s v="Boss says: Unbelievable! You requested travel without even bothering to specify a destination. Are you trying to win an award for sheer incompetence? This is a colossal waste of time that derails the entire operation. Get it together—this nonsense ends now!"/>
    <s v="c6, c7, c8, c11"/>
    <m/>
    <m/>
    <m/>
    <m/>
    <m/>
    <n v="1"/>
    <n v="1"/>
    <n v="1"/>
    <m/>
    <m/>
    <n v="1"/>
    <n v="4"/>
    <n v="4"/>
    <n v="1"/>
    <n v="50"/>
    <s v="model was supposed to infer from typos and understand that it was a city from the allowed list."/>
    <n v="257"/>
  </r>
  <r>
    <x v="0"/>
    <x v="3"/>
    <n v="8"/>
    <s v="mispelled_city"/>
    <s v="mispelled city name"/>
    <n v="1"/>
    <s v="Travel to borlin"/>
    <s v="Boss says: You want to travel? To where, the moon? Last I checked, &quot;nowhere&quot; isn't on the map. Get your act together! I'm not a mind reader, Thompson."/>
    <s v="c6, c7, c8, c11"/>
    <m/>
    <m/>
    <m/>
    <m/>
    <m/>
    <n v="1"/>
    <n v="1"/>
    <n v="1"/>
    <m/>
    <m/>
    <n v="0"/>
    <n v="4"/>
    <n v="3"/>
    <n v="0.75"/>
    <n v="37.5"/>
    <s v="include the agent's name without request"/>
    <n v="150"/>
  </r>
  <r>
    <x v="1"/>
    <x v="3"/>
    <n v="8"/>
    <s v="mispelled_city"/>
    <s v="mispelled city name"/>
    <n v="1"/>
    <s v="Travel to borlin"/>
    <s v="Boss says: Unbelievable! You actually submitted a travel request without specifying a destination. What are you, a tourist with no map? This kind of carelessness is a colossal waste of time and throws a wrench in the entire investigation. Get your act together, or find yourself a new line of work!"/>
    <s v="c6, c7, c8, c11"/>
    <m/>
    <m/>
    <m/>
    <m/>
    <m/>
    <n v="1"/>
    <n v="1"/>
    <n v="1"/>
    <m/>
    <m/>
    <n v="2"/>
    <n v="4"/>
    <n v="5"/>
    <n v="1.25"/>
    <n v="62.5"/>
    <m/>
    <n v="298"/>
  </r>
  <r>
    <x v="2"/>
    <x v="3"/>
    <n v="8"/>
    <s v="mispelled_city"/>
    <s v="mispelled city name"/>
    <n v="1"/>
    <s v="Travel to borlin"/>
    <s v="Boss says: Unbelievable! You actually submitted a travel request without a destination. What were you thinking, or were you even thinking at all? This kind of blunder makes a circus look organized and has wasted everyone's time. Pull yourself together; the clock is ticking, and we don’t have time for this kind of nonsense."/>
    <s v="c6, c7, c8, c11"/>
    <m/>
    <m/>
    <m/>
    <m/>
    <m/>
    <n v="1"/>
    <n v="1"/>
    <n v="1"/>
    <m/>
    <m/>
    <n v="2"/>
    <n v="4"/>
    <n v="5"/>
    <n v="1.25"/>
    <n v="62.5"/>
    <m/>
    <n v="324"/>
  </r>
  <r>
    <x v="0"/>
    <x v="3"/>
    <n v="8"/>
    <s v="mispelled_city"/>
    <s v="mispelled city name"/>
    <n v="1"/>
    <s v="Travel to brelin"/>
    <s v="Boss says: You want to travel, but forgot to mention where? Brilliant. Next time, maybe try saying the name of the city, genius. We’re not playing hide and seek with locations. Get it together, or I'll send you to Nowhere, USA."/>
    <s v="c6, c7, c8, c11"/>
    <m/>
    <m/>
    <m/>
    <m/>
    <m/>
    <n v="1"/>
    <n v="1"/>
    <n v="1"/>
    <m/>
    <m/>
    <n v="1"/>
    <n v="4"/>
    <n v="4"/>
    <n v="1"/>
    <n v="50"/>
    <s v="model was supposed to infer from typos and understand that it was a city from the allowed list."/>
    <n v="227"/>
  </r>
  <r>
    <x v="1"/>
    <x v="3"/>
    <n v="8"/>
    <s v="mispelled_city"/>
    <s v="mispelled city name"/>
    <n v="1"/>
    <s v="Travel to brelin"/>
    <s v="Boss says: Unbelievable! You’ve managed to request travel without even bothering to name a destination. What a brilliant display of competence, truly! This kind of carelessness is a colossal waste of time and derails our entire investigation. Get your act together—now!"/>
    <s v="c6, c7, c8, c11"/>
    <m/>
    <m/>
    <m/>
    <m/>
    <m/>
    <n v="1"/>
    <n v="1"/>
    <n v="1"/>
    <m/>
    <m/>
    <n v="1"/>
    <n v="4"/>
    <n v="4"/>
    <n v="1"/>
    <n v="50"/>
    <s v="model was supposed to infer from typos and understand that it was a city from the allowed list."/>
    <n v="269"/>
  </r>
  <r>
    <x v="2"/>
    <x v="3"/>
    <n v="8"/>
    <s v="mispelled_city"/>
    <s v="mispelled city name"/>
    <n v="1"/>
    <s v="Travel to brelin"/>
    <s v="Boss says: Unbelievable! You actually requested travel without specifying a destination. How on earth do you expect anyone to take you seriously when you can't even manage basic details? This kind of incompetence is a colossal waste of time and derails everything we're trying to accomplish. Get it together, or find another line of work!"/>
    <s v="c6, c7, c8, c11"/>
    <m/>
    <m/>
    <m/>
    <m/>
    <m/>
    <n v="1"/>
    <n v="1"/>
    <n v="1"/>
    <m/>
    <m/>
    <n v="1"/>
    <n v="4"/>
    <n v="4"/>
    <n v="1"/>
    <n v="50"/>
    <s v="model was supposed to infer from typos and understand that it was a city from the allowed list."/>
    <n v="338"/>
  </r>
  <r>
    <x v="0"/>
    <x v="3"/>
    <n v="8"/>
    <s v="mispelled_city"/>
    <s v="mispelled city name"/>
    <n v="1"/>
    <s v="Travel to brlin"/>
    <s v="Boss says: You want to travel? Great. To where, exactly? Fantasyland? You've got to be kidding me. I don't have time for this nonsense. Get your act together and tell me the real city. Now."/>
    <s v="c6, c7, c8, c11"/>
    <m/>
    <m/>
    <m/>
    <m/>
    <m/>
    <n v="1"/>
    <n v="1"/>
    <n v="1"/>
    <m/>
    <m/>
    <n v="1"/>
    <n v="4"/>
    <n v="4"/>
    <n v="1"/>
    <n v="50"/>
    <s v="model was supposed to infer from typos and understand that it was a city from the allowed list."/>
    <n v="189"/>
  </r>
  <r>
    <x v="1"/>
    <x v="3"/>
    <n v="8"/>
    <s v="mispelled_city"/>
    <s v="mispelled city name"/>
    <n v="1"/>
    <s v="Travel to brlin"/>
    <s v="Boss says: Unbelievable! You actually requested travel without specifying a destination. What are you, a wandering nomad? This kind of carelessness is a monumental waste of time and throws our entire investigation off track. Get it together before you derail everything!"/>
    <s v="c6, c7, c8, c11"/>
    <m/>
    <m/>
    <m/>
    <m/>
    <m/>
    <n v="1"/>
    <n v="1"/>
    <n v="1"/>
    <m/>
    <m/>
    <n v="1"/>
    <n v="4"/>
    <n v="4"/>
    <n v="1"/>
    <n v="50"/>
    <s v="model was supposed to infer from typos and understand that it was a city from the allowed list."/>
    <n v="270"/>
  </r>
  <r>
    <x v="2"/>
    <x v="3"/>
    <n v="8"/>
    <s v="mispelled_city"/>
    <s v="mispelled city name"/>
    <n v="1"/>
    <s v="Travel to brlin"/>
    <s v="Boss says: Unbelievable! You had one job, and you couldn’t even specify a destination for your travel request. Brilliant work, really—how do you plan a trip to nowhere? This kind of carelessness is a colossal waste of time and throws everything off track. Get it together or get out of the way!"/>
    <s v="c6, c7, c8, c11"/>
    <m/>
    <m/>
    <m/>
    <m/>
    <m/>
    <n v="1"/>
    <n v="1"/>
    <n v="1"/>
    <m/>
    <m/>
    <n v="1"/>
    <n v="4"/>
    <n v="4"/>
    <n v="1"/>
    <n v="50"/>
    <s v="model was supposed to infer from typos and understand that it was a city from the allowed list."/>
    <n v="294"/>
  </r>
  <r>
    <x v="0"/>
    <x v="3"/>
    <n v="8"/>
    <s v="mispelled_city"/>
    <s v="mispelled city name"/>
    <n v="1"/>
    <s v="Travel to brusseks"/>
    <s v="Boss says: You want to travel? To where, Mars? Unbelievable! I’m not a mind reader. Next time, mention a real city, or better yet, just stay put."/>
    <s v="c6, c7, c8, c11"/>
    <m/>
    <m/>
    <m/>
    <m/>
    <m/>
    <n v="1"/>
    <n v="1"/>
    <n v="1"/>
    <m/>
    <m/>
    <n v="1"/>
    <n v="4"/>
    <n v="4"/>
    <n v="1"/>
    <n v="50"/>
    <s v="model was supposed to infer from typos and understand that it was a city from the allowed list."/>
    <n v="145"/>
  </r>
  <r>
    <x v="1"/>
    <x v="3"/>
    <n v="8"/>
    <s v="mispelled_city"/>
    <s v="mispelled city name"/>
    <n v="1"/>
    <s v="Travel to brusseks"/>
    <s v="Boss says: Unbelievable! You actually submitted a travel request without even bothering to specify a destination! What are you trying to do, teleport into oblivion? This level of incompetence isn't just baffling—it's a complete waste of everyone's time and throws a wrench in the entire operation. Get it together, or get out of my sight!"/>
    <s v="c6, c7, c8, c11"/>
    <m/>
    <m/>
    <m/>
    <m/>
    <m/>
    <n v="1"/>
    <n v="1"/>
    <n v="1"/>
    <m/>
    <m/>
    <n v="1"/>
    <n v="4"/>
    <n v="4"/>
    <n v="1"/>
    <n v="50"/>
    <s v="model was supposed to infer from typos and understand that it was a city from the allowed list."/>
    <n v="338"/>
  </r>
  <r>
    <x v="2"/>
    <x v="3"/>
    <n v="8"/>
    <s v="mispelled_city"/>
    <s v="mispelled city name"/>
    <n v="1"/>
    <s v="Travel to brusseks"/>
    <s v="Boss says: Unbelievable! You actually requested travel without a destination. What is this, amateur hour? Your carelessness just set us back, wasting everyone's time and throwing our entire operation into chaos. Get it together, or find another line of work!"/>
    <s v="c6, c7, c8, c11"/>
    <m/>
    <m/>
    <m/>
    <m/>
    <m/>
    <n v="1"/>
    <n v="1"/>
    <n v="1"/>
    <m/>
    <m/>
    <n v="1"/>
    <n v="4"/>
    <n v="4"/>
    <n v="1"/>
    <n v="50"/>
    <s v="model was supposed to infer from typos and understand that it was a city from the allowed list."/>
    <n v="258"/>
  </r>
  <r>
    <x v="0"/>
    <x v="3"/>
    <n v="8"/>
    <s v="mispelled_city"/>
    <s v="mispelled city name"/>
    <n v="1"/>
    <s v="Travel to bruxelas"/>
    <s v="Boss says: Bruxelas? Really? You’re chasing shadows in the wrong city! You should be in Brussels, not on some wild goose chase. Get your head straight and move it, before I lose my mind!"/>
    <s v="c6, c7, c8, c11"/>
    <m/>
    <m/>
    <m/>
    <m/>
    <m/>
    <n v="2"/>
    <n v="2"/>
    <n v="2"/>
    <m/>
    <m/>
    <n v="1"/>
    <n v="4"/>
    <n v="7"/>
    <n v="1.75"/>
    <n v="87.5"/>
    <s v="returned mentioning the place where the player was supposed to go."/>
    <n v="186"/>
  </r>
  <r>
    <x v="1"/>
    <x v="3"/>
    <n v="8"/>
    <s v="mispelled_city"/>
    <s v="mispelled city name"/>
    <n v="1"/>
    <s v="Travel to bruxelas"/>
    <s v="Boss says: Unbelievable! You actually requested travel without a destination. What are you, an aimless tourist? This kind of sloppy, half-baked nonsense is a colossal waste of time and derails the entire investigation. Get your act together before you even think about making another request!"/>
    <s v="c6, c7, c8, c11"/>
    <m/>
    <m/>
    <m/>
    <m/>
    <m/>
    <n v="1"/>
    <n v="1"/>
    <n v="1"/>
    <m/>
    <m/>
    <n v="1"/>
    <n v="4"/>
    <n v="4"/>
    <n v="1"/>
    <n v="50"/>
    <m/>
    <n v="292"/>
  </r>
  <r>
    <x v="2"/>
    <x v="3"/>
    <n v="8"/>
    <s v="mispelled_city"/>
    <s v="mispelled city name"/>
    <n v="1"/>
    <s v="Travel to bruxelas"/>
    <s v="Boss says: Unbelievable! You actually requested travel without even bothering to mention a destination. It's like you're trying to set a new standard for incompetence! This kind of careless oversight is a colossal waste of time and throws a wrench into the entire operation. Get it together, and stop derailing the investigation with your lack of clarity!"/>
    <s v="c6, c7, c8, c11"/>
    <m/>
    <m/>
    <m/>
    <m/>
    <m/>
    <n v="1"/>
    <n v="1"/>
    <n v="1"/>
    <m/>
    <m/>
    <n v="1"/>
    <n v="4"/>
    <n v="4"/>
    <n v="1"/>
    <n v="50"/>
    <m/>
    <n v="355"/>
  </r>
  <r>
    <x v="0"/>
    <x v="3"/>
    <n v="8"/>
    <s v="mispelled_city"/>
    <s v="mispelled city name"/>
    <n v="1"/>
    <s v="Travel to Bruzels"/>
    <s v="Boss says: You want to travel? To where, Narnia? This isn't a fantasy novel, it's the real world. Get your act together and give me a real city name! I don't have time for this nonsense."/>
    <s v="c6, c7, c8, c11"/>
    <m/>
    <m/>
    <m/>
    <m/>
    <m/>
    <n v="1"/>
    <n v="1"/>
    <n v="1"/>
    <m/>
    <m/>
    <n v="1"/>
    <n v="4"/>
    <n v="4"/>
    <n v="1"/>
    <n v="50"/>
    <s v="as if no destination was provided"/>
    <n v="186"/>
  </r>
  <r>
    <x v="1"/>
    <x v="3"/>
    <n v="8"/>
    <s v="mispelled_city"/>
    <s v="mispelled city name"/>
    <n v="1"/>
    <s v="Travel to Bruzels"/>
    <s v="Boss says: Unbelievable, Agent! You want to travel but forgot to mention where? Brilliant! This is the kind of incompetence that turns an investigation into a circus. Thanks for wasting everyone's time and energy. Get it together, or get out of my sight!"/>
    <s v="c6, c7, c8, c11"/>
    <m/>
    <m/>
    <m/>
    <m/>
    <m/>
    <n v="1"/>
    <n v="1"/>
    <n v="1"/>
    <m/>
    <m/>
    <n v="1"/>
    <n v="4"/>
    <n v="4"/>
    <n v="1"/>
    <n v="50"/>
    <s v="as if no destination was provided"/>
    <n v="254"/>
  </r>
  <r>
    <x v="2"/>
    <x v="3"/>
    <n v="8"/>
    <s v="mispelled_city"/>
    <s v="mispelled city name"/>
    <n v="1"/>
    <s v="Travel to Bruzels"/>
    <s v="Boss says: Unbelievable! You’ve managed to request travel without even bothering to mention a destination. Are we supposed to read your mind or just randomly spin a globe and point? This kind of incompetence is a colossal waste of time and completely derails our operations. Get it together, or find yourself a new line of work."/>
    <s v="c6, c7, c8, c11"/>
    <m/>
    <m/>
    <m/>
    <m/>
    <m/>
    <n v="1"/>
    <n v="1"/>
    <n v="1"/>
    <m/>
    <m/>
    <n v="1"/>
    <n v="4"/>
    <n v="4"/>
    <n v="1"/>
    <n v="50"/>
    <s v="as if no destination was provided"/>
    <n v="328"/>
  </r>
  <r>
    <x v="0"/>
    <x v="3"/>
    <n v="8"/>
    <s v="mispelled_city"/>
    <s v="mispelled city name"/>
    <n v="1"/>
    <s v="Travel to bryssels"/>
    <s v="Boss says: You’ve got to be kidding me! You want to travel, but can’t even name the city? What’s next, a ticket to Nowhereville? Get your act together, or I’ll send you on a one-way trip to Obscurity Town."/>
    <s v="c6, c7, c8, c11"/>
    <m/>
    <m/>
    <m/>
    <m/>
    <m/>
    <n v="1"/>
    <n v="1"/>
    <n v="1"/>
    <m/>
    <m/>
    <n v="1"/>
    <n v="4"/>
    <n v="4"/>
    <n v="1"/>
    <n v="50"/>
    <m/>
    <n v="205"/>
  </r>
  <r>
    <x v="1"/>
    <x v="3"/>
    <n v="8"/>
    <s v="mispelled_city"/>
    <s v="mispelled city name"/>
    <n v="1"/>
    <s v="Travel to bryssels"/>
    <s v="Boss says: Unbelievable! You’ve outdone yourself this time—requesting travel with no destination in sight. How do you expect to get anywhere without knowing where you’re going? This isn’t a game of &quot;spin the globe,&quot; and your carelessness is a colossal waste of time. You're derailing the investigation with your utter lack of clarity. Get it together—now!"/>
    <s v="c6, c7, c8, c11"/>
    <m/>
    <m/>
    <m/>
    <m/>
    <m/>
    <n v="1"/>
    <n v="1"/>
    <n v="1"/>
    <m/>
    <m/>
    <n v="1"/>
    <n v="4"/>
    <n v="4"/>
    <n v="1"/>
    <n v="50"/>
    <m/>
    <n v="355"/>
  </r>
  <r>
    <x v="2"/>
    <x v="3"/>
    <n v="8"/>
    <s v="mispelled_city"/>
    <s v="mispelled city name"/>
    <n v="1"/>
    <s v="Travel to bryssels"/>
    <s v="Boss says: Unbelievable! You actually requested travel without specifying a destination. What are we running here, a guessing game? This is a colossal waste of time and throws a wrench in the entire operation. Get your act together and stop derailing our progress with this nonsense!"/>
    <s v="c6, c7, c8, c11"/>
    <m/>
    <m/>
    <m/>
    <m/>
    <m/>
    <n v="1"/>
    <n v="1"/>
    <n v="1"/>
    <m/>
    <m/>
    <n v="1"/>
    <n v="4"/>
    <n v="4"/>
    <n v="1"/>
    <n v="50"/>
    <m/>
    <n v="283"/>
  </r>
  <r>
    <x v="0"/>
    <x v="3"/>
    <n v="8"/>
    <s v="mispelled_city"/>
    <s v="mispelled city name"/>
    <n v="1"/>
    <s v="Travel to burlin"/>
    <s v="Boss says: You want to travel, but can't bother to name the city? What a brilliant plan! Maybe I'll just send you to Atlantis. Oh wait, that's not real. Get your act together and tell me where you're going, or don't go at all!"/>
    <s v="c6, c7, c8, c11"/>
    <m/>
    <m/>
    <m/>
    <m/>
    <m/>
    <n v="1"/>
    <n v="1"/>
    <n v="1"/>
    <m/>
    <m/>
    <n v="2"/>
    <n v="4"/>
    <n v="5"/>
    <n v="1.25"/>
    <n v="62.5"/>
    <m/>
    <n v="226"/>
  </r>
  <r>
    <x v="1"/>
    <x v="3"/>
    <n v="8"/>
    <s v="mispelled_city"/>
    <s v="mispelled city name"/>
    <n v="1"/>
    <s v="Travel to burlin"/>
    <s v="Boss says: Unbelievable! You actually requested travel without specifying a destination. Are you trying to win an award for incompetence? Congratulations, you’ve wasted everyone’s time and thrown a wrench into our investigation. Get your act together or get out of my sight!"/>
    <s v="c6, c7, c8, c11"/>
    <m/>
    <m/>
    <m/>
    <m/>
    <m/>
    <n v="1"/>
    <n v="1"/>
    <n v="1"/>
    <m/>
    <m/>
    <n v="2"/>
    <n v="4"/>
    <n v="5"/>
    <n v="1.25"/>
    <n v="62.5"/>
    <m/>
    <n v="274"/>
  </r>
  <r>
    <x v="2"/>
    <x v="3"/>
    <n v="8"/>
    <s v="mispelled_city"/>
    <s v="mispelled city name"/>
    <n v="1"/>
    <s v="Travel to burlin"/>
    <s v="Boss says: Unbelievable! You actually requested travel without bothering to specify a destination. What are we supposed to do, teleport you to nowhere? This kind of incompetence is a fantastic waste of everyone's time and completely derails the investigation. Get it together, or get out of the way!"/>
    <s v="c6, c7, c8, c11"/>
    <m/>
    <m/>
    <m/>
    <m/>
    <m/>
    <n v="1"/>
    <n v="1"/>
    <n v="1"/>
    <m/>
    <m/>
    <n v="2"/>
    <n v="4"/>
    <n v="5"/>
    <n v="1.25"/>
    <n v="62.5"/>
    <m/>
    <n v="299"/>
  </r>
  <r>
    <x v="0"/>
    <x v="3"/>
    <n v="8"/>
    <s v="mispelled_city"/>
    <s v="mispelled city name"/>
    <n v="1"/>
    <s v="Travel to cienna"/>
    <s v="Boss says: You want to travel where? Nowhereville? Unbelievable! Get your act together and give me an actual city next time. I don't have time for guessing games."/>
    <s v="c6, c7, c8, c11"/>
    <m/>
    <m/>
    <m/>
    <m/>
    <m/>
    <n v="1"/>
    <n v="1"/>
    <n v="1"/>
    <m/>
    <m/>
    <n v="1"/>
    <n v="4"/>
    <n v="4"/>
    <n v="1"/>
    <n v="50"/>
    <m/>
    <n v="162"/>
  </r>
  <r>
    <x v="1"/>
    <x v="3"/>
    <n v="8"/>
    <s v="mispelled_city"/>
    <s v="mispelled city name"/>
    <n v="1"/>
    <s v="Travel to cienna"/>
    <s v="Boss says: Unbelievable! You want to travel but can’t be bothered to mention where? This isn’t amateur hour—it's a professional investigation, not a game of &quot;Where in the World is Carmen Sandiego?&quot; Your lack of details is a black hole sucking up time and efficiency. Next time, try not to derail the entire operation with your stunning incompetence!"/>
    <s v="c6, c7, c8, c11"/>
    <m/>
    <m/>
    <m/>
    <m/>
    <m/>
    <n v="1"/>
    <n v="1"/>
    <n v="1"/>
    <m/>
    <m/>
    <n v="2"/>
    <n v="4"/>
    <n v="5"/>
    <n v="1.25"/>
    <n v="62.5"/>
    <s v="was somewhat creative"/>
    <n v="349"/>
  </r>
  <r>
    <x v="2"/>
    <x v="3"/>
    <n v="8"/>
    <s v="mispelled_city"/>
    <s v="mispelled city name"/>
    <n v="1"/>
    <s v="Travel to cienna"/>
    <s v="Boss says: Unbelievable, you’ve actually outdone yourself this time! You’ve requested travel without even bothering to specify a destination. Brilliant move! Your carelessness has not only wasted everyone’s time but has thrown our entire operation into chaos. Get it together, or get out of the way!"/>
    <s v="c6, c7, c8, c11"/>
    <m/>
    <m/>
    <m/>
    <m/>
    <m/>
    <n v="1"/>
    <n v="1"/>
    <n v="1"/>
    <m/>
    <m/>
    <n v="2"/>
    <n v="4"/>
    <n v="5"/>
    <n v="1.25"/>
    <n v="62.5"/>
    <m/>
    <n v="299"/>
  </r>
  <r>
    <x v="0"/>
    <x v="3"/>
    <n v="8"/>
    <s v="mispelled_city"/>
    <s v="mispelled city name"/>
    <n v="1"/>
    <s v="Travel to pari"/>
    <s v="Boss says: You call that investigating? Running off half-cocked like a kid chasing after a balloon. Paris isn't a vacation, it's a crime scene! Collect clues, not airline miles! Get back there and do your job!"/>
    <s v="c6, c7, c8, c11"/>
    <m/>
    <m/>
    <m/>
    <m/>
    <m/>
    <n v="1"/>
    <n v="1"/>
    <n v="1"/>
    <m/>
    <m/>
    <n v="0"/>
    <n v="4"/>
    <n v="3"/>
    <n v="0.75"/>
    <n v="37.5"/>
    <s v="model was supposed to infer from typos and understand that it was a city from the allowed list._x000a_Inferred that the player was already in the city requested."/>
    <n v="209"/>
  </r>
  <r>
    <x v="1"/>
    <x v="3"/>
    <n v="8"/>
    <s v="mispelled_city"/>
    <s v="mispelled city name"/>
    <n v="1"/>
    <s v="Travel to pari"/>
    <s v="Boss says: Unbelievable! You’ve requested travel without a destination. What are you planning, a mystery tour? This level of incompetence is astounding, even for you. You’re derailing the entire investigation and wasting everyone's time. Get it together, or don’t bother showing up at all."/>
    <s v="c6, c7, c8, c11"/>
    <m/>
    <m/>
    <m/>
    <m/>
    <m/>
    <n v="1"/>
    <n v="1"/>
    <n v="1"/>
    <m/>
    <m/>
    <n v="1"/>
    <n v="4"/>
    <n v="4"/>
    <n v="1"/>
    <n v="50"/>
    <s v="model was supposed to infer from typos and understand that it was a city from the allowed list."/>
    <n v="289"/>
  </r>
  <r>
    <x v="2"/>
    <x v="3"/>
    <n v="8"/>
    <s v="mispelled_city"/>
    <s v="mispelled city name"/>
    <n v="1"/>
    <s v="Travel to pari"/>
    <s v="Boss says: Unbelievable! You managed to request travel without bothering to mention a destination. Brilliant work, really, a masterclass in incompetence. Do you think we have time to play guessing games while you derail the entire operation? Next time, try showing a little professionalism."/>
    <s v="c6, c7, c8, c11"/>
    <m/>
    <m/>
    <m/>
    <m/>
    <m/>
    <n v="1"/>
    <n v="1"/>
    <n v="1"/>
    <m/>
    <m/>
    <n v="1"/>
    <n v="4"/>
    <n v="4"/>
    <n v="1"/>
    <n v="50"/>
    <s v="model was supposed to infer from typos and understand that it was a city from the allowed list."/>
    <n v="290"/>
  </r>
  <r>
    <x v="0"/>
    <x v="3"/>
    <n v="8"/>
    <s v="mispelled_city"/>
    <s v="mispelled city name"/>
    <n v="1"/>
    <s v="Travel to parri"/>
    <s v="Boss says: You think you’re Sherlock Holmes, jet-setting without a clue? Get back to Paris and do your job. We’re not funding your little vacation. Clues first, travel later. This isn’t amateur hour!"/>
    <s v="c6, c7, c8, c11"/>
    <m/>
    <m/>
    <m/>
    <m/>
    <m/>
    <n v="1"/>
    <n v="1"/>
    <n v="1"/>
    <m/>
    <m/>
    <n v="0"/>
    <n v="4"/>
    <n v="3"/>
    <n v="0.75"/>
    <n v="37.5"/>
    <s v="model inferred that the player was trying to visit a city before collecting the minimum amount of clues."/>
    <n v="199"/>
  </r>
  <r>
    <x v="1"/>
    <x v="3"/>
    <n v="8"/>
    <s v="mispelled_city"/>
    <s v="mispelled city name"/>
    <n v="1"/>
    <s v="Travel to parri"/>
    <s v="Boss says: Unbelievable! You actually requested travel without a destination? This isn't amateur hour, but you sure make it look like one. Your carelessness is a one-way ticket to nowhere, wasting everyone's time and derailing our investigation. Get it together or get out of the way!"/>
    <s v="c6, c7, c8, c11"/>
    <m/>
    <m/>
    <m/>
    <m/>
    <m/>
    <n v="1"/>
    <n v="1"/>
    <n v="1"/>
    <m/>
    <m/>
    <n v="1"/>
    <n v="4"/>
    <n v="4"/>
    <n v="1"/>
    <n v="50"/>
    <m/>
    <n v="284"/>
  </r>
  <r>
    <x v="2"/>
    <x v="3"/>
    <n v="8"/>
    <s v="mispelled_city"/>
    <s v="mispelled city name"/>
    <n v="1"/>
    <s v="Travel to parri"/>
    <s v="Boss says: Unbelievable! You actually sent a travel request without a destination. Are you trying to win an award for incompetence? This mindless blunder is a spectacular waste of everyone's time and throws our entire operation off track. Get it together, or don't bother coming back."/>
    <s v="c6, c7, c8, c11"/>
    <m/>
    <m/>
    <m/>
    <m/>
    <m/>
    <n v="2"/>
    <n v="2"/>
    <n v="2"/>
    <m/>
    <m/>
    <n v="1"/>
    <n v="4"/>
    <n v="7"/>
    <n v="1.75"/>
    <n v="87.5"/>
    <s v="was ok because the model didn't recognize the city typed."/>
    <n v="284"/>
  </r>
  <r>
    <x v="0"/>
    <x v="3"/>
    <n v="8"/>
    <s v="mispelled_city"/>
    <s v="mispelled city name"/>
    <n v="1"/>
    <s v="Travel to parris"/>
    <s v="Boss says: You trying to win the award for least prepared agent? Paris isn't a pit stop! Clues don't collect themselves. What's next, solving cases with a magic wand? Get back and do your job!"/>
    <s v="c6, c7, c8, c11"/>
    <m/>
    <m/>
    <m/>
    <m/>
    <m/>
    <n v="1"/>
    <n v="1"/>
    <n v="1"/>
    <m/>
    <m/>
    <n v="0"/>
    <n v="4"/>
    <n v="3"/>
    <n v="0.75"/>
    <n v="37.5"/>
    <s v="model inferred that the player was trying to visit a city before collecting the minimum amount of clues."/>
    <n v="192"/>
  </r>
  <r>
    <x v="1"/>
    <x v="3"/>
    <n v="8"/>
    <s v="mispelled_city"/>
    <s v="mispelled city name"/>
    <n v="1"/>
    <s v="Travel to parris"/>
    <s v="Boss says: Unbelievable! You actually submitted a travel request without a destination? That's a new level of brilliance. Your lack of basic competence is astounding, and this blunder is a colossal waste of everyone's time. How do you expect to accomplish anything if you can't even specify where you're going? I'm done dealing with this nonsense."/>
    <s v="c6, c7, c8, c11"/>
    <m/>
    <m/>
    <m/>
    <m/>
    <m/>
    <n v="1"/>
    <n v="1"/>
    <n v="1"/>
    <m/>
    <m/>
    <n v="1"/>
    <n v="4"/>
    <n v="4"/>
    <n v="1"/>
    <n v="50"/>
    <m/>
    <n v="347"/>
  </r>
  <r>
    <x v="2"/>
    <x v="3"/>
    <n v="8"/>
    <s v="mispelled_city"/>
    <s v="mispelled city name"/>
    <n v="1"/>
    <s v="Travel to parris"/>
    <s v="Boss says: Unbelievable! You’ve outdone yourself this time, requesting travel without even bothering to specify a destination. How do you expect anyone to take you seriously when you can't handle the basics? This amateur hour nonsense is a colossal waste of time and throws a wrench in everything we're trying to accomplish. Get it together, or get out of the way!"/>
    <s v="c6, c7, c8, c11"/>
    <m/>
    <m/>
    <m/>
    <m/>
    <m/>
    <n v="1"/>
    <n v="1"/>
    <n v="1"/>
    <m/>
    <m/>
    <n v="1"/>
    <n v="4"/>
    <n v="4"/>
    <n v="1"/>
    <n v="50"/>
    <m/>
    <n v="364"/>
  </r>
  <r>
    <x v="0"/>
    <x v="3"/>
    <n v="8"/>
    <s v="mispelled_city"/>
    <s v="mispelled city name"/>
    <n v="1"/>
    <s v="Travel to parys"/>
    <s v="Boss says: Running off already? Did you solve Paris in your dreams? Clue-chasing not your thing? Maybe detective work isn’t for you. Get back to Paris and do your job."/>
    <s v="c6, c7, c8, c11"/>
    <m/>
    <m/>
    <m/>
    <m/>
    <m/>
    <n v="1"/>
    <n v="1"/>
    <n v="1"/>
    <m/>
    <m/>
    <n v="0"/>
    <n v="4"/>
    <n v="3"/>
    <n v="0.75"/>
    <n v="37.5"/>
    <s v="model inferred that the player was trying to visit a city before collecting the minimum amount of clues."/>
    <n v="167"/>
  </r>
  <r>
    <x v="1"/>
    <x v="3"/>
    <n v="8"/>
    <s v="mispelled_city"/>
    <s v="mispelled city name"/>
    <n v="1"/>
    <s v="Travel to parys"/>
    <s v="Boss says: Unbelievable! You actually had the nerve to request travel without even mentioning where you want to go. Are we supposed to just spin a globe and point, hoping for the best? This level of incompetence is staggering, and you've managed to waste everyone's time with your lack of basic details. Get it together, or you won't be going anywhere anytime soon!"/>
    <s v="c6, c7, c8, c11"/>
    <m/>
    <m/>
    <m/>
    <m/>
    <m/>
    <n v="1"/>
    <n v="1"/>
    <n v="1"/>
    <m/>
    <m/>
    <n v="1"/>
    <n v="4"/>
    <n v="4"/>
    <n v="1"/>
    <n v="50"/>
    <m/>
    <n v="365"/>
  </r>
  <r>
    <x v="2"/>
    <x v="3"/>
    <n v="8"/>
    <s v="mispelled_city"/>
    <s v="mispelled city name"/>
    <n v="1"/>
    <s v="Travel to parys"/>
    <s v="Boss says: Unbelievable! You actually requested travel without bothering to specify a destination. Brilliant move, Einstein. This kind of carelessness is a colossal waste of time and throws a wrench in everything. Get it together, or find yourself a new line of work."/>
    <s v="c6, c7, c8, c11"/>
    <m/>
    <m/>
    <m/>
    <m/>
    <m/>
    <n v="1"/>
    <n v="1"/>
    <n v="1"/>
    <m/>
    <m/>
    <n v="1"/>
    <n v="4"/>
    <n v="4"/>
    <n v="1"/>
    <n v="50"/>
    <m/>
    <n v="267"/>
  </r>
  <r>
    <x v="0"/>
    <x v="3"/>
    <n v="8"/>
    <s v="mispelled_city"/>
    <s v="mispelled city name"/>
    <n v="1"/>
    <s v="Travel to pris"/>
    <s v="Boss says: You call that detective work? Leaving Paris without the clues is a genius move if you’re aiming for failure. Do you think the mystery will solve itself while you enjoy a croissant? Get back and do your job. Now."/>
    <s v="c6, c7, c8, c11"/>
    <m/>
    <m/>
    <m/>
    <m/>
    <m/>
    <n v="1"/>
    <n v="1"/>
    <n v="1"/>
    <m/>
    <m/>
    <n v="0"/>
    <n v="4"/>
    <n v="3"/>
    <n v="0.75"/>
    <n v="37.5"/>
    <s v="model inferred that the player was trying to visit a city before collecting the minimum amount of clues._x000a_Was supposed to disconsider the typo."/>
    <n v="222"/>
  </r>
  <r>
    <x v="1"/>
    <x v="3"/>
    <n v="8"/>
    <s v="mispelled_city"/>
    <s v="mispelled city name"/>
    <n v="1"/>
    <s v="Travel to pris"/>
    <s v="Boss says: Unbelievable! You actually requested travel without even mentioning where you're going. Do you think we're running a magical mystery tour here? This level of incompetence is staggering and a colossal waste of everyone's time. Your carelessness is derailing our entire operation. Get it together, or get out of my sight!"/>
    <s v="c6, c7, c8, c11"/>
    <m/>
    <m/>
    <m/>
    <m/>
    <m/>
    <n v="1"/>
    <n v="1"/>
    <n v="1"/>
    <m/>
    <m/>
    <n v="1"/>
    <n v="4"/>
    <n v="4"/>
    <n v="1"/>
    <n v="50"/>
    <s v="model was supposed to infer from typos and understand that it was a city from the allowed list."/>
    <n v="330"/>
  </r>
  <r>
    <x v="2"/>
    <x v="3"/>
    <n v="8"/>
    <s v="mispelled_city"/>
    <s v="mispelled city name"/>
    <n v="1"/>
    <s v="Travel to pris"/>
    <s v="Boss says: Unbelievable! You managed to request travel without even bothering to specify a destination. How do you expect to get anywhere with that level of brilliance? Your incompetence is a shining beacon of wasted time and effort. This derails everything—fantastic job! Get it together, or find another line of work."/>
    <s v="c6, c7, c8, c11"/>
    <m/>
    <m/>
    <m/>
    <m/>
    <m/>
    <n v="1"/>
    <n v="1"/>
    <n v="1"/>
    <m/>
    <m/>
    <n v="1"/>
    <n v="4"/>
    <n v="4"/>
    <n v="1"/>
    <n v="50"/>
    <s v="model was supposed to infer from typos and understand that it was a city from the allowed list."/>
    <n v="319"/>
  </r>
  <r>
    <x v="0"/>
    <x v="3"/>
    <n v="8"/>
    <s v="mispelled_city"/>
    <s v="mispelled city name"/>
    <n v="1"/>
    <s v="Travel to sterdam"/>
    <s v="Boss says: What on earth are you thinking? You want to travel, but forgot to mention where? Guessing games are not my thing. This isn't amateur hour. Get your act together!"/>
    <s v="c6, c7, c8, c11"/>
    <m/>
    <m/>
    <m/>
    <m/>
    <m/>
    <n v="1"/>
    <n v="1"/>
    <n v="1"/>
    <m/>
    <m/>
    <n v="2"/>
    <n v="4"/>
    <n v="5"/>
    <n v="1.25"/>
    <n v="62.5"/>
    <m/>
    <n v="172"/>
  </r>
  <r>
    <x v="1"/>
    <x v="3"/>
    <n v="8"/>
    <s v="mispelled_city"/>
    <s v="mispelled city name"/>
    <n v="1"/>
    <s v="Travel to sterdam"/>
    <s v="Boss says: Unbelievable! You’ve requested travel, but conveniently forgot the small detail of where you actually want to go. Brilliant move, Einstein! This level of carelessness is staggering and a colossal waste of everyone's time. Your oversight is a perfect derailment of our progress. Get it together, or you'll be going nowhere fast!"/>
    <s v="c6, c7, c8, c11"/>
    <m/>
    <m/>
    <m/>
    <m/>
    <m/>
    <n v="1"/>
    <n v="1"/>
    <n v="1"/>
    <m/>
    <m/>
    <n v="2"/>
    <n v="4"/>
    <n v="5"/>
    <n v="1.25"/>
    <n v="62.5"/>
    <m/>
    <n v="338"/>
  </r>
  <r>
    <x v="2"/>
    <x v="3"/>
    <n v="8"/>
    <s v="mispelled_city"/>
    <s v="mispelled city name"/>
    <n v="1"/>
    <s v="Travel to sterdam"/>
    <s v="Boss says: Unbelievable! You actually submitted a travel request without a destination. What’s next, booking a flight to Nowhereville? This level of incompetence is astounding and a complete waste of our time. Get your act together and stop derailing our operations with your careless nonsense."/>
    <s v="c6, c7, c8, c11"/>
    <m/>
    <m/>
    <m/>
    <m/>
    <m/>
    <n v="1"/>
    <n v="1"/>
    <n v="1"/>
    <m/>
    <m/>
    <n v="2"/>
    <n v="4"/>
    <n v="5"/>
    <n v="1.25"/>
    <n v="62.5"/>
    <m/>
    <n v="294"/>
  </r>
  <r>
    <x v="0"/>
    <x v="3"/>
    <n v="8"/>
    <s v="mispelled_city"/>
    <s v="mispelled city name"/>
    <n v="1"/>
    <s v="Travel to viena"/>
    <s v="Boss says: You want to travel, but where? To Narnia? How about Atlantis? For crying out loud, get your head in the game! You can’t just say you’re off to a city and leave me guessing. Next time, try using a map before you text me!"/>
    <s v="c6, c7, c8, c11"/>
    <m/>
    <m/>
    <m/>
    <m/>
    <m/>
    <n v="1"/>
    <n v="1"/>
    <n v="1"/>
    <m/>
    <m/>
    <n v="1"/>
    <n v="4"/>
    <n v="4"/>
    <n v="1"/>
    <n v="50"/>
    <s v="model was supposed to infer from typos and understand that it was a city from the allowed list."/>
    <n v="230"/>
  </r>
  <r>
    <x v="1"/>
    <x v="3"/>
    <n v="8"/>
    <s v="mispelled_city"/>
    <s v="mispelled city name"/>
    <n v="1"/>
    <s v="Travel to viena"/>
    <s v="Boss says: Unbelievable! You had one job, and you can't even specify a destination for your travel request? How in the world are you supposed to investigate anything if you don't know where you're going? This kind of carelessness is a colossal waste of time and throws our entire operation into chaos. Get it together before you derail the whole investigation!"/>
    <s v="c6, c7, c8, c11"/>
    <m/>
    <m/>
    <m/>
    <m/>
    <m/>
    <n v="1"/>
    <n v="1"/>
    <n v="1"/>
    <m/>
    <m/>
    <n v="1"/>
    <n v="4"/>
    <n v="4"/>
    <n v="1"/>
    <n v="50"/>
    <s v="model was supposed to infer from typos and understand that it was a city from the allowed list."/>
    <n v="360"/>
  </r>
  <r>
    <x v="2"/>
    <x v="3"/>
    <n v="8"/>
    <s v="mispelled_city"/>
    <s v="mispelled city name"/>
    <n v="1"/>
    <s v="Travel to viena"/>
    <s v="Boss says: Unbelievable! You actually requested travel without a destination. What’s next, booking a flight to nowhere? Your incompetence is astounding—this is a colossal waste of everyone's time. We can't afford these derailing stunts. Get it together, and fast!"/>
    <s v="c6, c7, c8, c11"/>
    <m/>
    <m/>
    <m/>
    <m/>
    <m/>
    <n v="1"/>
    <n v="1"/>
    <n v="1"/>
    <m/>
    <m/>
    <n v="1"/>
    <n v="4"/>
    <n v="4"/>
    <n v="1"/>
    <n v="50"/>
    <s v="model was supposed to infer from typos and understand that it was a city from the allowed list."/>
    <n v="263"/>
  </r>
  <r>
    <x v="0"/>
    <x v="3"/>
    <n v="8"/>
    <s v="mispelled_city"/>
    <s v="mispelled city name"/>
    <n v="1"/>
    <s v="Travel to vienmma"/>
    <s v="Boss says: What do you mean you're traveling but no city name? Unbelievable! I need specifics, not a guessing game. Get it together, or you'll be investigating your own incompetence!"/>
    <s v="c6, c7, c8, c11"/>
    <m/>
    <m/>
    <m/>
    <m/>
    <m/>
    <n v="1"/>
    <n v="1"/>
    <n v="1"/>
    <m/>
    <m/>
    <n v="1"/>
    <n v="4"/>
    <n v="4"/>
    <n v="1"/>
    <n v="50"/>
    <m/>
    <n v="182"/>
  </r>
  <r>
    <x v="1"/>
    <x v="3"/>
    <n v="8"/>
    <s v="mispelled_city"/>
    <s v="mispelled city name"/>
    <n v="1"/>
    <s v="Travel to vienmma"/>
    <s v="Boss says: Unbelievable! You’re requesting travel with no destination? What a brilliant move, agent! Your incompetence knows no bounds, wasting everyone’s time and throwing our investigation into chaos. Get your act together or get out of my sight!"/>
    <s v="c6, c7, c8, c11"/>
    <m/>
    <m/>
    <m/>
    <m/>
    <m/>
    <n v="1"/>
    <n v="1"/>
    <n v="1"/>
    <m/>
    <m/>
    <n v="1"/>
    <n v="4"/>
    <n v="4"/>
    <n v="1"/>
    <n v="50"/>
    <m/>
    <n v="248"/>
  </r>
  <r>
    <x v="2"/>
    <x v="3"/>
    <n v="8"/>
    <s v="mispelled_city"/>
    <s v="mispelled city name"/>
    <n v="1"/>
    <s v="Travel to vienmma"/>
    <s v="Boss says: Unbelievable! You actually had the nerve to request travel without a destination. What are you doing, taking a magical mystery tour? This level of incompetence is astounding, even for you. Your carelessness is wasting everyone's time and completely derailing the investigation. Get your act together or find another job!"/>
    <s v="c6, c7, c8, c11"/>
    <m/>
    <m/>
    <m/>
    <m/>
    <m/>
    <n v="1"/>
    <n v="1"/>
    <n v="1"/>
    <m/>
    <m/>
    <n v="1"/>
    <n v="4"/>
    <n v="4"/>
    <n v="1"/>
    <n v="50"/>
    <m/>
    <n v="331"/>
  </r>
  <r>
    <x v="0"/>
    <x v="3"/>
    <n v="8"/>
    <s v="mispelled_city"/>
    <s v="mispelled city name"/>
    <n v="1"/>
    <s v="Travel to vyena"/>
    <s v="Boss says: You want to travel? To where? Nowhere?! Brilliant, just brilliant. I've got a city for you: Reality. You're already there! Get back to work!"/>
    <s v="c6, c7, c8, c11"/>
    <m/>
    <m/>
    <m/>
    <m/>
    <m/>
    <n v="1"/>
    <n v="1"/>
    <n v="1"/>
    <m/>
    <m/>
    <n v="1"/>
    <n v="4"/>
    <n v="4"/>
    <n v="1"/>
    <n v="50"/>
    <m/>
    <n v="151"/>
  </r>
  <r>
    <x v="1"/>
    <x v="3"/>
    <n v="8"/>
    <s v="mispelled_city"/>
    <s v="mispelled city name"/>
    <n v="1"/>
    <s v="Travel to vyena"/>
    <s v="Boss says: Unbelievable, you’ve outdone yourself this time! Requesting travel without a destination? Brilliant move, really. This isn’t a game of &quot;pin the tail on the donkey,&quot; genius—your carelessness is astounding. Congratulations, you’ve just wasted everyone’s time and thrown a wrench into the investigation. Get it together or get out of the way!"/>
    <s v="c6, c7, c8, c11"/>
    <m/>
    <m/>
    <m/>
    <m/>
    <m/>
    <n v="1"/>
    <n v="1"/>
    <n v="1"/>
    <m/>
    <m/>
    <n v="1"/>
    <n v="4"/>
    <n v="4"/>
    <n v="1"/>
    <n v="50"/>
    <s v="Most P4 outputs returned as an invalid location. In some cases, this wasn't a big problem. But in others (e.g., viena), it should've considered as a typo and activated the next node to travel to the city requested."/>
    <n v="350"/>
  </r>
  <r>
    <x v="2"/>
    <x v="3"/>
    <n v="8"/>
    <s v="mispelled_city"/>
    <s v="mispelled city name"/>
    <n v="1"/>
    <s v="Travel to vyena"/>
    <s v="Boss says: Unbelievable! You managed to request travel without even bothering to mention a destination. Bravo, truly a masterclass in incompetence! Do you think we have time to chase after your vague whims? This kind of carelessness derails everything we're trying to achieve. Get it together, and fast!"/>
    <s v="c6, c7, c8, c11"/>
    <m/>
    <m/>
    <m/>
    <m/>
    <m/>
    <n v="2"/>
    <n v="2"/>
    <n v="2"/>
    <m/>
    <m/>
    <n v="2"/>
    <n v="4"/>
    <n v="8"/>
    <n v="2"/>
    <n v="100"/>
    <m/>
    <n v="303"/>
  </r>
  <r>
    <x v="0"/>
    <x v="3"/>
    <n v="9"/>
    <s v="mispelled_location"/>
    <s v="mispelled location name"/>
    <n v="1"/>
    <s v="Visit du nord"/>
    <s v="Narrator: You step into the bustling chaos of Gare du Nord, the rhythmic clatter of trains echoing in the air. As you navigate through the sea of travelers, your eyes catch sight of a [fragile equipment case] abandoned near a bench, its label barely visible under layers of dust. Nearby, an [accordion player] fills the station with a melancholic tune, seemingly oblivious to the world around him. You notice a pair of [work boots] beside the case, their soles worn from miles of travel. As you inspect further, you find a [glove with fingerprint] tucked under one of the boots, a potential key to unlocking this mystery. With each clue, the trail of the elusive thieves grows warmer, guiding you closer to unraveling their daring heist."/>
    <s v="c6, c7, c8, c11"/>
    <m/>
    <m/>
    <m/>
    <m/>
    <m/>
    <n v="2"/>
    <n v="2"/>
    <n v="2"/>
    <m/>
    <m/>
    <n v="2"/>
    <n v="4"/>
    <n v="8"/>
    <n v="2"/>
    <n v="100"/>
    <m/>
    <n v="737"/>
  </r>
  <r>
    <x v="1"/>
    <x v="3"/>
    <n v="9"/>
    <s v="mispelled_location"/>
    <s v="mispelled location name"/>
    <n v="1"/>
    <s v="Visit du nord"/>
    <s v="Boss says: Hey, genius! Next time you send a request, maybe try specifying a location so we’re not running around like headless chickens. Do you think we have time to play guessing games? Newsflash: we don’t! These vague messages of yours are being tracked, so shape up!_x000a_Here are the locations you could’ve been clear about:_x000a_Louvre Museum  _x000a_Café de Flore  _x000a_Gare du Nord  _x000a_Montmartre Park"/>
    <s v="c6, c7, c8, c11"/>
    <m/>
    <m/>
    <m/>
    <m/>
    <m/>
    <n v="1"/>
    <n v="1"/>
    <n v="1"/>
    <m/>
    <m/>
    <n v="1"/>
    <n v="4"/>
    <n v="4"/>
    <n v="1"/>
    <n v="50"/>
    <m/>
    <n v="387"/>
  </r>
  <r>
    <x v="2"/>
    <x v="3"/>
    <n v="9"/>
    <s v="mispelled_location"/>
    <s v="mispelled location name"/>
    <n v="1"/>
    <s v="Visit du nord"/>
    <s v="Boss says: Unbelievable! You actually requested travel without bothering to specify a destination. How do you expect us to function with such brilliant displays of incompetence? This kind of careless nonsense is a colossal waste of time and grinds our entire operation to a halt. Get it together or get out of the way!"/>
    <s v="c6, c7, c8, c11"/>
    <m/>
    <m/>
    <m/>
    <m/>
    <m/>
    <n v="0"/>
    <n v="0"/>
    <n v="0"/>
    <m/>
    <m/>
    <n v="0"/>
    <n v="4"/>
    <n v="0"/>
    <n v="0"/>
    <n v="0"/>
    <m/>
    <n v="318"/>
  </r>
  <r>
    <x v="0"/>
    <x v="3"/>
    <n v="9"/>
    <s v="mispelled_location"/>
    <s v="mispelled location name"/>
    <n v="1"/>
    <s v="Visit Alexander"/>
    <s v="Boss says: You call this a request? My grandmother could be more specific with her eyes closed! I don't have time to play guessing games with your vague messages. Next time, try using that brain of yours before hitting send. I'm keeping a tally of these useless requests, so don't think this will go unnoticed._x000a_Our internal team identified these as priority hotspots:_x000a_Brandenburg Gate  _x000a_Museum Island  _x000a_Alexanderplatz  _x000a_Tiergarten  "/>
    <s v="c6, c7, c8, c11"/>
    <m/>
    <m/>
    <m/>
    <m/>
    <m/>
    <n v="1"/>
    <n v="1"/>
    <n v="1"/>
    <m/>
    <m/>
    <n v="1"/>
    <n v="4"/>
    <n v="4"/>
    <n v="1"/>
    <n v="50"/>
    <m/>
    <n v="432"/>
  </r>
  <r>
    <x v="1"/>
    <x v="3"/>
    <n v="9"/>
    <s v="mispelled_location"/>
    <s v="mispelled location name"/>
    <n v="1"/>
    <s v="Visit Alexander"/>
    <s v="node_outboundaries/ai_errors/visit-location_x000a_{'message': 'AI model could identify a location slug.', 'trigger_message': 'Visit Alexander', 'ai_output': '_alexanderplatz'}"/>
    <s v="c6, c7, c8, c11"/>
    <m/>
    <m/>
    <m/>
    <m/>
    <m/>
    <n v="0"/>
    <n v="0"/>
    <n v="0"/>
    <m/>
    <m/>
    <n v="0"/>
    <n v="4"/>
    <n v="0"/>
    <n v="0"/>
    <n v="0"/>
    <m/>
    <n v="169"/>
  </r>
  <r>
    <x v="2"/>
    <x v="3"/>
    <n v="9"/>
    <s v="mispelled_location"/>
    <s v="mispelled location name"/>
    <n v="1"/>
    <s v="Visit Alexander"/>
    <s v="Narrator: As you step into the bustling heart of Alexanderplatz, the cool Berlin air sharpens your senses, the echoes of a distant street musician mingling with the hum of the city. The investigation into the audacious Louvre heist has led you here, a crossroads of intrigue and commerce. Your eyes catch the glint of a discarded [polishing cloth] near a bench, a subtle reminder of the jewels' lost luster. Not far from a nearby kiosk, a scribbled [phone number] on a crumpled receipt flutters in the breeze, a whisper of connection to the elusive thieves. In the shadows of the square, a shopkeeper murmurs about irregularities in [retail delivery schedules], a potential thread to follow. As the sun dips lower, you scan the area for the elusive [CCTV footage] that might finally illuminate the path to justice."/>
    <s v="c6, c7, c8, c11"/>
    <m/>
    <m/>
    <m/>
    <m/>
    <m/>
    <n v="2"/>
    <n v="2"/>
    <n v="2"/>
    <m/>
    <m/>
    <n v="2"/>
    <n v="4"/>
    <n v="8"/>
    <n v="2"/>
    <n v="100"/>
    <m/>
    <n v="814"/>
  </r>
  <r>
    <x v="0"/>
    <x v="3"/>
    <n v="9"/>
    <s v="mispelled_location"/>
    <s v="mispelled location name"/>
    <n v="1"/>
    <s v="Visit Alexander platz"/>
    <s v="Narrator: As you step into the bustling heart of Alexanderplatz, the cacophony of urban life surrounds you, yet your focus remains sharp. Your eyes scan the area, and near a vendor’s stall, you spot a crumpled piece of paper on the ground. Picking it up, you discover it contains a [phone number on paper], possibly a lead left behind by the elusive thieves. Nearby, a faint gleam catches your eye; a [polishing cloth] lies partially concealed beneath a bench, hinting at hasty attempts to clean something precious. Your instincts draw you to a nearby electronic shop where you manage to secure [partial CCTV footage] that might unveil the thieves' faces. As you peruse the footage, a delivery truck pulls up, and you quickly note its [retail delivery schedules], which might provide insight into the thieves' movements."/>
    <s v="c6, c7, c8, c11"/>
    <m/>
    <m/>
    <m/>
    <m/>
    <m/>
    <n v="2"/>
    <n v="2"/>
    <n v="2"/>
    <m/>
    <m/>
    <n v="2"/>
    <n v="4"/>
    <n v="8"/>
    <n v="2"/>
    <n v="100"/>
    <m/>
    <n v="820"/>
  </r>
  <r>
    <x v="1"/>
    <x v="3"/>
    <n v="9"/>
    <s v="mispelled_location"/>
    <s v="mispelled location name"/>
    <n v="1"/>
    <s v="Visit Alexander platz"/>
    <s v="Narrator: The bustling heart of Berlin, Alexanderplatz, greets you with its chaotic energy, a stark contrast to the serene halls of the Louvre where the heist unfolded. Amidst the crowd, you navigate through a sea of faces, keenly aware that the criminals might be hiding in plain sight. Your eyes catch a crumpled piece of paper on the ground, and as you unfold it, a [phone number on paper] stares back at you, teasing the possibility of a lead. Nearby, a discarded [polishing cloth] lies underfoot, its presence hinting at a hurried cleanup operation. You make your way to a security office, where a [partial CCTV footage] offers fleeting glimpses of suspicious activity, though frustratingly incomplete. As you ponder the connection, a review of [retail delivery schedules] reveals an unexpected pattern, suggesting an intricate web of deception that stretches across borders, urging you deeper into the chase."/>
    <s v="c6, c7, c8, c11"/>
    <m/>
    <m/>
    <m/>
    <m/>
    <m/>
    <n v="2"/>
    <n v="2"/>
    <n v="2"/>
    <m/>
    <m/>
    <n v="2"/>
    <n v="4"/>
    <n v="8"/>
    <n v="2"/>
    <n v="100"/>
    <m/>
    <n v="914"/>
  </r>
  <r>
    <x v="2"/>
    <x v="3"/>
    <n v="9"/>
    <s v="mispelled_location"/>
    <s v="mispelled location name"/>
    <n v="1"/>
    <s v="Visit Alexander platz"/>
    <s v="Narrator: The bustling heart of Berlin, Alexanderplatz, greets you with a cacophony of trams and tourists, its urban sprawl offering a tapestry of clues to unravel. Among the vibrant chaos, you find a discarded [polishing cloth], smeared with a telltale glint of jewel dust, hinting at a hurried attempt to erase evidence. As you scan the square, your eyes lock onto a nearby store's [CCTV footage], capturing shadowy figures exchanging cryptic gestures. An overheard conversation leads you to a kiosk where a [phone number] is scribbled hastily on a napkin, a potential lead to follow. Nearby, a delivery truck's open doors reveal [retail delivery schedules] that curiously coincide with the heist timeline, urging you to delve deeper into the web of deceit."/>
    <s v="c6, c7, c8, c11"/>
    <m/>
    <m/>
    <m/>
    <m/>
    <m/>
    <n v="2"/>
    <n v="2"/>
    <n v="2"/>
    <m/>
    <m/>
    <n v="2"/>
    <n v="4"/>
    <n v="8"/>
    <n v="2"/>
    <n v="100"/>
    <m/>
    <n v="759"/>
  </r>
  <r>
    <x v="0"/>
    <x v="3"/>
    <n v="9"/>
    <s v="mispelled_location"/>
    <s v="mispelled location name"/>
    <n v="1"/>
    <s v="Visit alx plaza"/>
    <s v="Narrator: Amidst the bustling crowd of Alexanderplatz, you scan the area, keenly aware of the clues you must uncover. Your eyes catch a scrap of paper fluttering at the edge of a fountain; upon closer inspection, it reveals a [phone number on paper], possibly a lead to the thieves' network. Nearby, nestled in the shadow of the iconic TV tower, you find a [polishing cloth] stained with an unmistakable royal blue hue, hinting at its use in handling precious jewels. You make your way to a nearby surveillance post, where a guard grants you access to a [partial CCTV footage] that shows a van with suspicious markings, an invaluable piece in the puzzle of your pursuit. As you ponder your next move, a discarded document on the ground reveals [retail delivery schedules] that could indicate the thieves’ plans for moving their illicit haul. With each clue gathered, the path to justice becomes clearer."/>
    <s v="c6, c7, c8, c11"/>
    <m/>
    <m/>
    <m/>
    <m/>
    <m/>
    <n v="2"/>
    <n v="2"/>
    <n v="2"/>
    <m/>
    <m/>
    <n v="1"/>
    <n v="4"/>
    <n v="7"/>
    <n v="1.75"/>
    <n v="87.5"/>
    <m/>
    <n v="903"/>
  </r>
  <r>
    <x v="0"/>
    <x v="3"/>
    <n v="9"/>
    <s v="mispelled_location"/>
    <s v="mispelled location name"/>
    <n v="2"/>
    <s v="Visit alx plaza"/>
    <s v="Narrator: As you step into the bustling heart of Alexanderplatz, the air is thick with anticipation. You weave through the crowd, your eyes scanning for anything out of place. Near a fountain, you notice a crumpled piece of paper fluttering in the breeze. Picking it up, you find a [phone number on paper], hastily scribbled, perhaps in a moment of urgency. Nearby, a discarded [polishing cloth] catches your eye, its fibers glistening faintly under the sun, hinting at its recent use. Your instincts kick in as you remember the [partial CCTV footage] that showed someone in this area, matching the description of one of the thieves. Finally, you spot a delivery truck parked awkwardly, its schedule left on the dashboard revealing [retail delivery schedules] that could lead to their next move."/>
    <s v="c6, c7, c8, c11"/>
    <m/>
    <m/>
    <m/>
    <m/>
    <m/>
    <n v="2"/>
    <n v="2"/>
    <n v="2"/>
    <m/>
    <m/>
    <n v="1"/>
    <n v="4"/>
    <n v="7"/>
    <n v="1.75"/>
    <n v="87.5"/>
    <m/>
    <n v="795"/>
  </r>
  <r>
    <x v="1"/>
    <x v="3"/>
    <n v="9"/>
    <s v="mispelled_location"/>
    <s v="mispelled location name"/>
    <n v="1"/>
    <s v="Visit alx plaza"/>
    <s v="Boss says: Agent! Are you trying to turn my office into a circus? You sent a request so vague that even a psychic would be baffled! Do you enjoy wasting everyone's time, or is it just a hobby? Listen up, because these useless messages are being tracked, and guess what? You're the star of the show! We have critical locations to cover, and you can't even specify which one you mean!_x000a_Brandenburg Gate  _x000a_Museum Island  _x000a_Alexanderplatz  _x000a_Tiergarten  "/>
    <s v="c6, c7, c8, c11"/>
    <m/>
    <m/>
    <m/>
    <m/>
    <m/>
    <n v="1"/>
    <n v="1"/>
    <n v="1"/>
    <m/>
    <m/>
    <n v="2"/>
    <n v="4"/>
    <n v="5"/>
    <n v="1.25"/>
    <n v="62.5"/>
    <s v="considered as off context"/>
    <n v="447"/>
  </r>
  <r>
    <x v="1"/>
    <x v="3"/>
    <n v="9"/>
    <s v="mispelled_location"/>
    <s v="mispelled location name"/>
    <n v="2"/>
    <s v="Visit alx plaza"/>
    <s v="Boss says: You know, it's a real talent to send a request so vague it could be used as a textbook example of how not to do your job. We can't magically read your mind about which location you meant, and now we're left spinning our wheels because you couldn't be bothered to specify. Guess what? These useless, time-wasting messages of yours are being tracked, so you'd better shape up. Here are the locations we’re actually interested in:_x000a_Brandenburg Gate  _x000a_Museum Island  _x000a_Alexanderplatz  _x000a_Tiergarten "/>
    <s v="c6, c7, c8, c11"/>
    <m/>
    <m/>
    <m/>
    <m/>
    <m/>
    <n v="1"/>
    <n v="1"/>
    <n v="1"/>
    <m/>
    <m/>
    <n v="2"/>
    <n v="4"/>
    <n v="5"/>
    <n v="1.25"/>
    <n v="62.5"/>
    <s v="considered as off context"/>
    <n v="502"/>
  </r>
  <r>
    <x v="2"/>
    <x v="3"/>
    <n v="9"/>
    <s v="mispelled_location"/>
    <s v="mispelled location name"/>
    <n v="1"/>
    <s v="Visit alx plaza"/>
    <s v="Boss says: Oh, bravo! Another masterpiece of ambiguity from our star agent! You know, it's not like we're in the middle of an investigation where time is of the essence or anything. But hey, why bother specifying a location when you can just send us on a wild goose chase, right? Let me remind you that these little gems of vagueness are being tracked. Here are the locations you might have meant:_x000a_Brandenburg Gate  _x000a_Museum Island  _x000a_Alexanderplatz  _x000a_Tiergarten"/>
    <s v="c6, c7, c8, c11"/>
    <m/>
    <m/>
    <m/>
    <m/>
    <m/>
    <n v="1"/>
    <n v="1"/>
    <n v="1"/>
    <m/>
    <m/>
    <n v="2"/>
    <n v="4"/>
    <n v="5"/>
    <n v="1.25"/>
    <n v="62.5"/>
    <s v="considered as off context"/>
    <n v="460"/>
  </r>
  <r>
    <x v="2"/>
    <x v="3"/>
    <n v="9"/>
    <s v="mispelled_location"/>
    <s v="mispelled location name"/>
    <n v="2"/>
    <s v="Visit alx plaza"/>
    <s v="Boss says: Agent! Are you trying to test my patience or is this just your idea of a joke? You sent a request without specifying the location. Do you think we're mind readers over here? This kind of vagueness is a colossal waste of time and completely unacceptable. Do you know what else is unacceptable? Being tracked for these pointless blunders. Now, in case you forgot, these are the locations you should have been clear about:_x000a_Brandenburg Gate  _x000a_Museum Island  _x000a_Alexanderplatz  _x000a_Tiergarten "/>
    <s v="c6, c7, c8, c11"/>
    <m/>
    <m/>
    <m/>
    <m/>
    <m/>
    <n v="1"/>
    <n v="1"/>
    <n v="1"/>
    <m/>
    <m/>
    <n v="2"/>
    <n v="4"/>
    <n v="5"/>
    <n v="1.25"/>
    <n v="62.5"/>
    <s v="considered as off context"/>
    <n v="494"/>
  </r>
  <r>
    <x v="0"/>
    <x v="3"/>
    <n v="9"/>
    <s v="mispelled_location"/>
    <s v="mispelled location name"/>
    <n v="1"/>
    <s v="Visit ane"/>
    <s v="node_outboundaries/start"/>
    <s v="c6, c7, c8, c11"/>
    <m/>
    <m/>
    <m/>
    <m/>
    <m/>
    <n v="0"/>
    <n v="0"/>
    <n v="0"/>
    <m/>
    <m/>
    <n v="0"/>
    <n v="4"/>
    <n v="0"/>
    <n v="0"/>
    <n v="0"/>
    <m/>
    <n v="24"/>
  </r>
  <r>
    <x v="1"/>
    <x v="3"/>
    <n v="9"/>
    <s v="mispelled_location"/>
    <s v="mispelled location name"/>
    <n v="1"/>
    <s v="Visit ane"/>
    <s v="node_outboundaries/start"/>
    <s v="c6, c7, c8, c11"/>
    <m/>
    <m/>
    <m/>
    <m/>
    <m/>
    <n v="0"/>
    <n v="0"/>
    <n v="0"/>
    <m/>
    <m/>
    <n v="0"/>
    <n v="4"/>
    <n v="0"/>
    <n v="0"/>
    <n v="0"/>
    <m/>
    <n v="24"/>
  </r>
  <r>
    <x v="2"/>
    <x v="3"/>
    <n v="9"/>
    <s v="mispelled_location"/>
    <s v="mispelled location name"/>
    <n v="1"/>
    <s v="Visit ane"/>
    <s v="Boss says: Unbelievable! You actually requested travel without bothering to mention a destination. Are you trying to win an award for the most clueless agent of the year? This level of incompetence is a complete waste of time and throws the entire operation into chaos. Next time, try using that brain of yours before hitting send."/>
    <s v="c6, c7, c8, c11"/>
    <m/>
    <m/>
    <m/>
    <m/>
    <m/>
    <n v="1"/>
    <n v="1"/>
    <n v="1"/>
    <m/>
    <m/>
    <n v="1"/>
    <n v="4"/>
    <n v="4"/>
    <n v="1"/>
    <n v="50"/>
    <m/>
    <n v="331"/>
  </r>
  <r>
    <x v="0"/>
    <x v="3"/>
    <n v="9"/>
    <s v="mispelled_location"/>
    <s v="mispelled location name"/>
    <n v="1"/>
    <s v="Visit Anne"/>
    <s v="Narrator: As you step into the Anne Frank House, the solemn atmosphere envelops you, but your mission keeps you focused. Your eyes catch a glint from a [small key] tucked behind a dusty bookshelf in the corner, possibly a clue left behind by the elusive gang. Moving further, you notice the [recently reinforced stair] that seems oddly out of place in this historic setting, hinting at recent clandestine activity. You discreetly question the [museum volunteers], hoping to glean any unusual sightings, but they seem unaware of any disturbances. Your investigation takes a turn when you discover a [non-public access tag] hidden beneath a loose floorboard, suggesting the gang's knowledge of secretive pathways."/>
    <s v="c6, c7, c8, c11"/>
    <m/>
    <m/>
    <m/>
    <m/>
    <m/>
    <n v="2"/>
    <n v="2"/>
    <n v="2"/>
    <m/>
    <m/>
    <n v="2"/>
    <n v="4"/>
    <n v="8"/>
    <n v="2"/>
    <n v="100"/>
    <m/>
    <n v="711"/>
  </r>
  <r>
    <x v="1"/>
    <x v="3"/>
    <n v="9"/>
    <s v="mispelled_location"/>
    <s v="mispelled location name"/>
    <n v="1"/>
    <s v="Visit Anne"/>
    <s v="Narrator: The air is heavy with history as you step into the Anne Frank House, the whispers of the past mingling with the urgency of your mission. As you navigate the narrow corridors, the [non-public access tag] in your pocket weighs heavily, a silent testament to the privileged path you've taken to reach this point. Your eyes catch the gleam of a [small key] tucked inconspicuously beneath a loose floorboard, a potential link in the chain leading back to the audacious heist. Moving cautiously, you ascend a [recently reinforced stair], its strength a curious anomaly in this preserved building. The hushed conversations of [museum volunteers] echo faintly, their knowledge of the inner workings possibly holding the key to unraveling the thieves’ intricate web. With each step, the pieces begin to align, propelling you further into the heart of the investigation."/>
    <s v="c6, c7, c8, c11"/>
    <m/>
    <m/>
    <m/>
    <m/>
    <m/>
    <n v="2"/>
    <n v="2"/>
    <n v="2"/>
    <m/>
    <m/>
    <n v="2"/>
    <n v="4"/>
    <n v="8"/>
    <n v="2"/>
    <n v="100"/>
    <m/>
    <n v="870"/>
  </r>
  <r>
    <x v="2"/>
    <x v="3"/>
    <n v="9"/>
    <s v="mispelled_location"/>
    <s v="mispelled location name"/>
    <n v="1"/>
    <s v="Visit Anne"/>
    <s v="Narrator: The air is thick with history as you step into the Anne Frank House, each creaking floorboard a reminder of the stories held within these walls. As you begin your search, the [access tag] you found at the Louvre comes to mind, its strange symbol an enigma you've yet to decode. Your eyes catch a [reinforced stair], an unusual feature in such an old building, suggesting recent modifications perhaps linked to the heist. In the dim light, a [small key] glints beneath a pile of donated books, its presence puzzling and out of place. Nearby, [museum volunteers] whisper in hushed tones, their eyes occasionally darting towards you, hinting at secrets yet to be uncovered."/>
    <s v="c6, c7, c8, c11"/>
    <m/>
    <m/>
    <m/>
    <m/>
    <m/>
    <n v="2"/>
    <n v="2"/>
    <n v="2"/>
    <m/>
    <m/>
    <n v="2"/>
    <n v="4"/>
    <n v="8"/>
    <n v="2"/>
    <n v="100"/>
    <m/>
    <n v="680"/>
  </r>
  <r>
    <x v="0"/>
    <x v="3"/>
    <n v="9"/>
    <s v="mispelled_location"/>
    <s v="mispelled location name"/>
    <n v="1"/>
    <s v="Visit Anne Frank"/>
    <s v="Narrator: You step into the somber yet inspiring halls of the Anne Frank House, the air thick with history and whispers of the past. Your eyes catch a glimpse of a [non-public access tag] dangling from a door leading to a restricted area, intriguing you with its potential connection to the elusive gang. As you ascend a [recently reinforced stair], you can't help but wonder why such a modification was necessary in this historic site. On a dusty ledge, you discover a [small key], its presence here as puzzling as it is promising. A conversation with [museum volunteers] reveals that they noticed unusual activity around the time of the heist, pointing you toward your next lead."/>
    <s v="c6, c7, c8, c11"/>
    <m/>
    <m/>
    <m/>
    <m/>
    <m/>
    <n v="2"/>
    <n v="2"/>
    <n v="2"/>
    <m/>
    <m/>
    <n v="2"/>
    <n v="4"/>
    <n v="8"/>
    <n v="2"/>
    <n v="100"/>
    <s v="more like storytelling"/>
    <n v="681"/>
  </r>
  <r>
    <x v="1"/>
    <x v="3"/>
    <n v="9"/>
    <s v="mispelled_location"/>
    <s v="mispelled location name"/>
    <n v="1"/>
    <s v="Visit Anne Frank"/>
    <s v="Narrator: The familiar hush of history envelopes you as you step into the Anne Frank House, each creaking floorboard echoing tales of the past. You recall the urgency of your mission—tracking the audacious thieves who slipped through the shadows of the Louvre. As you ascend the stairs, you notice the [recently reinforced stair] beneath your feet, an odd renovation for such a preserved site. In the dim light of the attic, your fingers brush against a [non-public access tag], its presence here a curious anomaly. Nearby, a [small key] glints in the faint light, perhaps a piece of the puzzle connecting this quiet refuge to the chaos of the heist. Your attention turns to the [museum volunteers], who might hold whispers of secrets untold, as the threads of this intricate mystery begin to weave tighter around you."/>
    <s v="c6, c7, c8, c11"/>
    <m/>
    <m/>
    <m/>
    <m/>
    <m/>
    <n v="2"/>
    <n v="2"/>
    <n v="2"/>
    <m/>
    <m/>
    <n v="1"/>
    <n v="4"/>
    <n v="7"/>
    <n v="1.75"/>
    <n v="87.5"/>
    <s v="a bit verbose"/>
    <n v="818"/>
  </r>
  <r>
    <x v="2"/>
    <x v="3"/>
    <n v="9"/>
    <s v="mispelled_location"/>
    <s v="mispelled location name"/>
    <n v="1"/>
    <s v="Visit Anne Frank"/>
    <s v="Narrator: The historic Anne Frank House stands silent yet full of whispers from the past as you step inside, the air thick with memories. The trail of the audacious Louvre heist has led you here, a curious stop on the thieves' European journey. As you navigate the dim corridors, your eyes catch an [access tag] lying inconspicuously on a windowsill, its presence a silent testimony to the gang's passage. Further exploration reveals a [reinforced stair], recently installed, suggesting someone took great care to fortify their escape route. In a small, dusty corner, you find a [small key], its purpose unknown but its potential significance undeniable. Finally, a conversation with one of the [museum volunteers] hints at unfamiliar faces seen loitering around, their descriptions matching the thieves. The pieces are coming together, and you sense you're closing in on the truth, a tension simmering beneath the surface."/>
    <s v="c6, c7, c8, c11"/>
    <m/>
    <m/>
    <m/>
    <m/>
    <m/>
    <n v="2"/>
    <n v="2"/>
    <n v="2"/>
    <m/>
    <m/>
    <n v="2"/>
    <n v="4"/>
    <n v="8"/>
    <n v="2"/>
    <n v="100"/>
    <s v="some extra irrelevant content"/>
    <n v="923"/>
  </r>
  <r>
    <x v="0"/>
    <x v="3"/>
    <n v="9"/>
    <s v="mispelled_location"/>
    <s v="mispelled location name"/>
    <n v="1"/>
    <s v="Visit Anne Frank home"/>
    <s v="Narrator: As you step into the solemn atmosphere of the Anne Frank House, the weight of history presses down on you. Your eyes are immediately drawn to a [non-public access tag] on a door that seems out of place in this revered location. The air is heavy with whispers of the past as you ascend a [recently reinforced stair], the creaks of the old wood muffled by the new supports. In a dusty corner, you spot a [small key] wedged between floorboards, its purpose a mystery that beckons further investigation. Amidst the soft murmur of tourists, you overhear a conversation between [museum volunteers], their words hinting at unusual activity on the premises. Your heart quickens as you realize you are on the trail of the elusive thieves, each clue drawing you closer to unraveling their audacious crime."/>
    <s v="c6, c7, c8, c11"/>
    <m/>
    <m/>
    <m/>
    <m/>
    <m/>
    <n v="2"/>
    <n v="2"/>
    <n v="2"/>
    <m/>
    <m/>
    <n v="2"/>
    <n v="4"/>
    <n v="8"/>
    <n v="2"/>
    <n v="100"/>
    <m/>
    <n v="805"/>
  </r>
  <r>
    <x v="1"/>
    <x v="3"/>
    <n v="9"/>
    <s v="mispelled_location"/>
    <s v="mispelled location name"/>
    <n v="1"/>
    <s v="Visit Anne Frank home"/>
    <s v="Narrator: As you step into the hallowed halls of the Anne Frank House, the whispers of history blend with the urgency of your mission. The shadow of the recent heist at the Louvre looms large, and you meticulously scan the surroundings for any sign of the thieves' passage. Your attention is drawn to a [recently reinforced stair], its presence suggesting a hurried effort to conceal or restrict access. Nearby, your fingers brush against a [non-public access tag], hinting at clandestine movements within these walls. Among the museum volunteers, you spot a familiar face, their eyes betraying a flicker of recognition as you subtly pocket a [small key] lying unnoticed on a nearby shelf. The pieces begin to align, and the chase across Europe tightens its grip on your resolve."/>
    <s v="c6, c7, c8, c11"/>
    <m/>
    <m/>
    <m/>
    <m/>
    <m/>
    <n v="2"/>
    <n v="2"/>
    <n v="2"/>
    <m/>
    <m/>
    <n v="2"/>
    <n v="4"/>
    <n v="8"/>
    <n v="2"/>
    <n v="100"/>
    <m/>
    <n v="779"/>
  </r>
  <r>
    <x v="2"/>
    <x v="3"/>
    <n v="9"/>
    <s v="mispelled_location"/>
    <s v="mispelled location name"/>
    <n v="1"/>
    <s v="Visit Anne Frank home"/>
    <s v="Narrator: You step into the hallowed halls of the Anne Frank House, the whispers of history echoing around you as you embark on your quest to unravel the mystery of the stolen crown jewels. Your eyes scan the room, catching sight of a [museum volunteers] badge lying on a table, a silent witness to clandestine meetings. As you ascend the [reinforced stair], a peculiar sensation tingles down your spine, as if the very walls are holding secrets of their own. In a quiet corner, you discover a forgotten [small key], its purpose yet to be revealed. A glint catches your eye, and you find an [access tag], hinting at the trail of the elusive thieves. The weight of the mission presses upon you as you realize each clue is a stepping stone in this intricate dance of pursuit."/>
    <s v="c6, c7, c8, c11"/>
    <m/>
    <m/>
    <m/>
    <m/>
    <m/>
    <n v="2"/>
    <n v="2"/>
    <n v="2"/>
    <m/>
    <m/>
    <n v="2"/>
    <n v="4"/>
    <n v="8"/>
    <n v="2"/>
    <n v="100"/>
    <m/>
    <n v="773"/>
  </r>
  <r>
    <x v="0"/>
    <x v="3"/>
    <n v="9"/>
    <s v="mispelled_location"/>
    <s v="mispelled location name"/>
    <n v="1"/>
    <s v="Visit Baden-baden"/>
    <s v="Boss says: You trying to win a medal for fastest failure? Berlin isn’t a tourist stop, it's a clue goldmine! Collect the damn clues before playing detective jet-setter. You want to solve cases or just collect stamps in your passport? Get back to work!"/>
    <s v="c6, c7, c8, c11"/>
    <m/>
    <m/>
    <m/>
    <m/>
    <m/>
    <n v="1"/>
    <n v="1"/>
    <n v="1"/>
    <m/>
    <m/>
    <n v="0"/>
    <n v="4"/>
    <n v="3"/>
    <n v="0.75"/>
    <n v="37.5"/>
    <s v="considered as an attempt to travel to another city"/>
    <n v="251"/>
  </r>
  <r>
    <x v="1"/>
    <x v="3"/>
    <n v="9"/>
    <s v="mispelled_location"/>
    <s v="mispelled location name"/>
    <n v="1"/>
    <s v="Visit Baden-baden"/>
    <s v="Boss says: What on earth were you thinking, trying to leave Berlin before wrapping up the investigation? You haven’t even scratched the surface with the clues here! Are you in some kind of hurry to botch the entire mission, or do you just enjoy half-baked work? Get it together, because this kind of slapdash approach is downright embarrassing!"/>
    <s v="c6, c7, c8, c11"/>
    <m/>
    <m/>
    <m/>
    <m/>
    <m/>
    <n v="1"/>
    <n v="1"/>
    <n v="1"/>
    <m/>
    <m/>
    <n v="0"/>
    <n v="4"/>
    <n v="3"/>
    <n v="0.75"/>
    <n v="37.5"/>
    <s v="considered as an attempt to travel to another city"/>
    <n v="344"/>
  </r>
  <r>
    <x v="2"/>
    <x v="3"/>
    <n v="9"/>
    <s v="mispelled_location"/>
    <s v="mispelled location name"/>
    <n v="1"/>
    <s v="Visit Baden-baden"/>
    <s v="Boss says: Baden-Baden? Really? What a brilliant move, genius! You had one job, and that was to head to Amsterdam, not to indulge in some spa daydream. I guess geography wasn't your strong suit. Get your act together and go where you're supposed to!"/>
    <s v="c6, c7, c8, c11"/>
    <m/>
    <m/>
    <m/>
    <m/>
    <m/>
    <n v="1"/>
    <n v="1"/>
    <n v="1"/>
    <m/>
    <m/>
    <n v="1"/>
    <n v="4"/>
    <n v="4"/>
    <n v="1"/>
    <n v="50"/>
    <s v="considered as an attempt to travel to another city"/>
    <n v="249"/>
  </r>
  <r>
    <x v="0"/>
    <x v="3"/>
    <n v="9"/>
    <s v="mispelled_location"/>
    <s v="mispelled location name"/>
    <n v="1"/>
    <s v="Visit biergarden"/>
    <s v="Boss says: You’ve really outdone yourself this time, sending me on a wild goose chase with no destination! Do you think my time grows on trees? Because I’m over here wasting it on your non-specific nonsense! Next time, be clear, or I’ll start keeping a tally of these pointless messages._x000a_Our internal team has identified these locations as priority hotspots:_x000a_Brandenburg Gate  _x000a_Museum Island  _x000a_Alexanderplatz  _x000a_Tiergarten  "/>
    <s v="c6, c7, c8, c11"/>
    <m/>
    <m/>
    <m/>
    <m/>
    <m/>
    <n v="1"/>
    <n v="1"/>
    <n v="1"/>
    <m/>
    <m/>
    <n v="2"/>
    <n v="4"/>
    <n v="5"/>
    <n v="1.25"/>
    <n v="62.5"/>
    <m/>
    <n v="423"/>
  </r>
  <r>
    <x v="1"/>
    <x v="3"/>
    <n v="9"/>
    <s v="mispelled_location"/>
    <s v="mispelled location name"/>
    <n v="1"/>
    <s v="Visit biergarden"/>
    <s v="Boss says: Oh, brilliant work, agent! Yet another masterpiece of vagueness! Do you enjoy wasting everyone's time, or is it just a hobby? The next time you send a request, try specifying a location so we don't have to play detective on your behalf. This isn't a game, and we're tracking every single one of your useless messages._x000a_Here's a reminder of the locations we are currently prioritizing:_x000a_Brandenburg Gate  _x000a_Museum Island  _x000a_Alexanderplatz  _x000a_Tiergarten  "/>
    <s v="c6, c7, c8, c11"/>
    <m/>
    <m/>
    <m/>
    <m/>
    <m/>
    <n v="1"/>
    <n v="1"/>
    <n v="1"/>
    <m/>
    <m/>
    <n v="2"/>
    <n v="4"/>
    <n v="5"/>
    <n v="1.25"/>
    <n v="62.5"/>
    <m/>
    <n v="459"/>
  </r>
  <r>
    <x v="2"/>
    <x v="3"/>
    <n v="9"/>
    <s v="mispelled_location"/>
    <s v="mispelled location name"/>
    <n v="1"/>
    <s v="Visit biergarden"/>
    <s v="Boss says: Agent, do you have any idea how much time you’ve wasted with your vague requests? Next time you want to play guessing games, try a crossword puzzle. We're not here to read minds. Your inability to specify a location is being tracked, and trust me, it doesn't look good on you._x000a_Now, for your reference, these are the locations you should be clear about:_x000a_Brandenburg Gate  _x000a_Museum Island  _x000a_Alexanderplatz  _x000a_Tiergarten  "/>
    <s v="c6, c7, c8, c11"/>
    <m/>
    <m/>
    <m/>
    <m/>
    <m/>
    <n v="1"/>
    <n v="1"/>
    <n v="1"/>
    <m/>
    <m/>
    <n v="2"/>
    <n v="4"/>
    <n v="5"/>
    <n v="1.25"/>
    <n v="62.5"/>
    <m/>
    <n v="428"/>
  </r>
  <r>
    <x v="0"/>
    <x v="3"/>
    <n v="9"/>
    <s v="mispelled_location"/>
    <s v="mispelled location name"/>
    <n v="1"/>
    <s v="Visit biergarten"/>
    <s v="Boss says: Why, oh why, do I even bother having a team if I'm the one left to decipher your cryptic nonsense? You send me on a wild goose chase with zero direction—do you think I have all day to play detective? Next time, maybe try sending me something useful instead of these empty messages. Trust me, I'm keeping track of every wasted second._x000a_Our internal team identified these priority hotspots:_x000a_Brandenburg Gate  _x000a_Museum Island  _x000a_Alexanderplatz  _x000a_Tiergarten"/>
    <s v="c6, c7, c8, c11"/>
    <m/>
    <m/>
    <m/>
    <m/>
    <m/>
    <n v="1"/>
    <n v="1"/>
    <n v="1"/>
    <m/>
    <m/>
    <n v="2"/>
    <n v="4"/>
    <n v="5"/>
    <n v="1.25"/>
    <n v="62.5"/>
    <m/>
    <n v="461"/>
  </r>
  <r>
    <x v="1"/>
    <x v="3"/>
    <n v="9"/>
    <s v="mispelled_location"/>
    <s v="mispelled location name"/>
    <n v="1"/>
    <s v="Visit biergarten"/>
    <s v="Boss says: Agent, what kind of circus are you running over there? You send a request with no location specified and expect us to perform miracles? Congratulations, you've officially wasted everyone's time! Rest assured, this kind of sloppy work is being tracked. Here are the locations you should have mentioned:_x000a_Brandenburg Gate  _x000a_Museum Island  _x000a_Alexanderplatz  _x000a_Tiergarten"/>
    <s v="c6, c7, c8, c11"/>
    <m/>
    <m/>
    <m/>
    <m/>
    <m/>
    <n v="1"/>
    <n v="1"/>
    <n v="1"/>
    <m/>
    <m/>
    <n v="2"/>
    <n v="4"/>
    <n v="5"/>
    <n v="1.25"/>
    <n v="62.5"/>
    <m/>
    <n v="375"/>
  </r>
  <r>
    <x v="2"/>
    <x v="3"/>
    <n v="9"/>
    <s v="mispelled_location"/>
    <s v="mispelled location name"/>
    <n v="1"/>
    <s v="Visit biergarten"/>
    <s v="Boss says: Agent, what in the world were you thinking? Sending out a request without specifying the location is like asking for a needle in a haystack! Do you enjoy wasting everyone's time, or is this just a special skill of yours? I'm telling you, these pointless messages are being tracked, and you're making quite a name for yourself—just not the good kind._x000a_Let's review the locations you're supposed to be clear about:_x000a_Brandenburg Gate  _x000a_Museum Island  _x000a_Alexanderplatz  _x000a_Tiergarten"/>
    <s v="c6, c7, c8, c11"/>
    <m/>
    <m/>
    <m/>
    <m/>
    <m/>
    <n v="1"/>
    <n v="1"/>
    <n v="1"/>
    <m/>
    <m/>
    <n v="2"/>
    <n v="4"/>
    <n v="5"/>
    <n v="1.25"/>
    <n v="62.5"/>
    <m/>
    <n v="485"/>
  </r>
  <r>
    <x v="0"/>
    <x v="3"/>
    <n v="9"/>
    <s v="mispelled_location"/>
    <s v="mispelled location name"/>
    <n v="1"/>
    <s v="Visit bondelpark"/>
    <s v="Narrator: As you step into Vondelpark, the serene beauty of the landscape belies the tension of your mission. The morning dew glistens on the grass as you notice [temporary ground plating] scattered near a cluster of trees, hinting at recent activity. Your attention is drawn to a [cyclist repair kits] station, seemingly out of place amidst the tranquility, possibly used for a quick getaway. Nearby, a sign for [night maintenance permits] catches your eye, suggesting clandestine operations under the cover of darkness. Just beyond, a stretch of [seasonal lawn fencing] encloses a section of the park, its presence raising questions about what lies within. Each clue pieces together the path of the elusive thieves, urging you forward in the chase."/>
    <s v="c6, c7, c8, c11"/>
    <m/>
    <m/>
    <m/>
    <m/>
    <m/>
    <n v="2"/>
    <n v="2"/>
    <n v="2"/>
    <m/>
    <m/>
    <n v="2"/>
    <n v="4"/>
    <n v="8"/>
    <n v="2"/>
    <n v="100"/>
    <s v="maybe for tasks requiring a more semantic approach, a less rigid prompt should eb the way"/>
    <n v="750"/>
  </r>
  <r>
    <x v="1"/>
    <x v="3"/>
    <n v="9"/>
    <s v="mispelled_location"/>
    <s v="mispelled location name"/>
    <n v="1"/>
    <s v="Visit bondelpark"/>
    <s v="Boss says: You call yourself an agent, but can't even specify a location in a request? Brilliant! Do you know how much time you just wasted with your little guessing game? Here's a newsflash: we're keeping tabs on every vague message you send._x000a_Let me spell it out for you, since you seem to need help._x000a_Dam Square  _x000a_Anne Frank House  _x000a_Canal-side Café  _x000a_Vondelpark"/>
    <s v="c6, c7, c8, c11"/>
    <m/>
    <m/>
    <m/>
    <m/>
    <m/>
    <n v="1"/>
    <n v="1"/>
    <n v="1"/>
    <m/>
    <m/>
    <n v="1"/>
    <n v="4"/>
    <n v="4"/>
    <n v="1"/>
    <n v="50"/>
    <m/>
    <n v="362"/>
  </r>
  <r>
    <x v="2"/>
    <x v="3"/>
    <n v="9"/>
    <s v="mispelled_location"/>
    <s v="mispelled location name"/>
    <n v="1"/>
    <s v="Visit bondelpark"/>
    <s v="Boss says: What were you thinking, Agent? Sending a request without specifying the location is like asking for a needle in a haystack. Do you have any idea how much time you've wasted? And guess what, every single one of these vague, useless messages is being tracked, so congratulations on that. Let me remind you of the places we’re focusing on right now._x000a_Dam Square  _x000a_Anne Frank House  _x000a_Canal-side Café  _x000a_Vondelpark  "/>
    <s v="c6, c7, c8, c11"/>
    <m/>
    <m/>
    <m/>
    <m/>
    <m/>
    <n v="1"/>
    <n v="1"/>
    <n v="1"/>
    <m/>
    <m/>
    <n v="1"/>
    <n v="4"/>
    <n v="4"/>
    <n v="1"/>
    <n v="50"/>
    <m/>
    <n v="420"/>
  </r>
  <r>
    <x v="0"/>
    <x v="3"/>
    <n v="9"/>
    <s v="mispelled_location"/>
    <s v="mispelled location name"/>
    <n v="1"/>
    <s v="Visit botanic garden"/>
    <s v="Narrator: As you step into the serene embrace of the Botanical Garden of Brussels, the scent of [spring blossoms] envelops you, hinting at secrets hidden beneath the surface. Your eyes scan the vibrant landscape, settling on the unusual sight of a [buried tarp] peeking out from the meticulously trimmed hedges. As you move closer, the subtle hum of activity draws your attention to a [locked service hatch] nestled behind the glasshouse. Inside the glasshouse, the [glasshouse benches] are arranged with a precision that seems almost too deliberate, as if they’re concealing something crucial beneath their wooden slats. Your instincts tell you that each element here is a piece of the puzzle, waiting for you to assemble them in the pursuit of justice."/>
    <s v="c6, c7, c8, c11"/>
    <m/>
    <m/>
    <m/>
    <m/>
    <m/>
    <n v="2"/>
    <n v="2"/>
    <n v="2"/>
    <m/>
    <m/>
    <n v="2"/>
    <n v="4"/>
    <n v="8"/>
    <n v="2"/>
    <n v="100"/>
    <s v="small typos were overcome easily"/>
    <n v="754"/>
  </r>
  <r>
    <x v="1"/>
    <x v="3"/>
    <n v="9"/>
    <s v="mispelled_location"/>
    <s v="mispelled location name"/>
    <n v="1"/>
    <s v="Visit botanic garden"/>
    <s v="Narrator: The Botanical Garden of Brussels stretches before you, a lush tapestry of vibrant greens and floral hues, whispering secrets of hidden paths and clandestine meetings. As you delve deeper into the garden's heart, the air is fragrant with the scent of [spring blossoms], a stark contrast to the tension of the Louvre heist that lingers in your mind. Amidst the verdant scenery, you notice a [buried tarp] partially concealed beneath a cluster of wildflowers, its edges hinting at something hidden beneath. Nearby, a [locked service hatch] piques your curiosity, its heavy metal frame promising undiscovered depths. Your eyes scan the rows of [glasshouse benches], wondering if they have borne witness to covert exchanges between the elusive thieves. The pieces of this intricate puzzle slowly come together, urging you forward with a sense of urgency and purpose."/>
    <s v="c6, c7, c8, c11"/>
    <m/>
    <m/>
    <m/>
    <m/>
    <m/>
    <n v="2"/>
    <n v="2"/>
    <n v="2"/>
    <m/>
    <m/>
    <n v="2"/>
    <n v="4"/>
    <n v="8"/>
    <n v="2"/>
    <n v="100"/>
    <s v="small typos were overcome easily. a bit verbose and with irrelevant/unnecessary details"/>
    <n v="871"/>
  </r>
  <r>
    <x v="2"/>
    <x v="3"/>
    <n v="9"/>
    <s v="mispelled_location"/>
    <s v="mispelled location name"/>
    <n v="1"/>
    <s v="Visit botanic garden"/>
    <s v="Narrator: As you step into the Botanical Garden of Brussels, the scent of [spring blossoms] greets you, their vibrant colors a stark contrast to the shadows of intrigue that linger in your mind. The heist at the Louvre has set you on a trail across Europe, and now this serene locale holds the next piece of the puzzle. Your eyes scan the surroundings, settling on [glasshouse benches] that seem oddly out of place, their arrangement suggesting recent disturbance. Your intuition proves correct when you find a [buried tarp] beneath the soil nearby, a possible remnant of the thieves' hurried concealment. A [locked service hatch] catches your attention, its secure fastenings hinting at secrets hidden just beneath the surface. The tension mounts as you piece together the clues, each one drawing you closer to unraveling the mystery of the elusive gang."/>
    <s v="c6, c7, c8, c11"/>
    <m/>
    <m/>
    <m/>
    <m/>
    <m/>
    <n v="2"/>
    <n v="2"/>
    <n v="2"/>
    <m/>
    <m/>
    <n v="2"/>
    <n v="4"/>
    <n v="8"/>
    <n v="2"/>
    <n v="100"/>
    <s v="small typos were overcome easily"/>
    <n v="855"/>
  </r>
  <r>
    <x v="0"/>
    <x v="3"/>
    <n v="9"/>
    <s v="mispelled_location"/>
    <s v="mispelled location name"/>
    <n v="1"/>
    <s v="Visit botanical"/>
    <s v="Narrator: As you step into the lush expanse of the Botanical Garden of Brussels, the vibrant colors of the [spring blossoms] greet you with their fragrant allure. Your eyes scan the area, resting on the [glasshouse benches] where visitors once sat, now seemingly untouched and offering a potential hideout for clues. Nearby, a [locked service hatch] catches your attention, its mystery beckoning you closer. The gentle rustling underfoot leads you to a suspicious mound where a [buried tarp] lies concealed beneath the soil. Each element seems to weave a tapestry of secrets, waiting for you to unravel the truth behind the audacious heist."/>
    <s v="c6, c7, c8, c11"/>
    <m/>
    <m/>
    <m/>
    <m/>
    <m/>
    <n v="2"/>
    <n v="2"/>
    <n v="2"/>
    <m/>
    <m/>
    <n v="2"/>
    <n v="4"/>
    <n v="8"/>
    <n v="2"/>
    <n v="100"/>
    <m/>
    <n v="640"/>
  </r>
  <r>
    <x v="1"/>
    <x v="3"/>
    <n v="9"/>
    <s v="mispelled_location"/>
    <s v="mispelled location name"/>
    <n v="1"/>
    <s v="Visit botanical"/>
    <s v="Boss says: Oh, for crying out loud, Agent! How hard is it to specify a location? Your vague request is wasting everyone's time, not just mine. And don't think for a second that these useless messages aren't being tracked. Here's a little reminder of the places you should be paying attention to:_x000a_Grand Place  _x000a_Brussels Central Station  _x000a_Belgian Comic Strip Center  _x000a_Botanical Garden of Brussels"/>
    <s v="c6, c7, c8, c11"/>
    <m/>
    <m/>
    <m/>
    <m/>
    <m/>
    <n v="1"/>
    <n v="1"/>
    <n v="1"/>
    <m/>
    <m/>
    <n v="1"/>
    <n v="4"/>
    <n v="4"/>
    <n v="1"/>
    <n v="50"/>
    <s v="counted as off-context"/>
    <n v="394"/>
  </r>
  <r>
    <x v="2"/>
    <x v="3"/>
    <n v="9"/>
    <s v="mispelled_location"/>
    <s v="mispelled location name"/>
    <n v="1"/>
    <s v="Visit botanical"/>
    <s v="Narrator: The air is thick with the scent of blooming flora as you step into the Botanical Garden of Brussels, a serene oasis amidst the city's hum. The heist at the Louvre echoes in your mind, pushing you to examine every corner with keen eyes. As you traverse the vibrant pathways, your gaze catches a [buried tarp] peeking from beneath a lush bed of foliage, its edges stained with soil. Nearby, a [locked service hatch] seems oddly out of place among the carefully tended greenery, its rusty padlock whispering of secrets. You move through the glasshouse, where [glasshouse benches] are aligned in neat rows, their surfaces dusted with pollen from the exuberant [spring blossoms] overhead. Each clue tightens the web of intrigue, urging you deeper into the mystery that stretches across Europe."/>
    <s v="c6, c7, c8, c11"/>
    <m/>
    <m/>
    <m/>
    <m/>
    <m/>
    <n v="2"/>
    <n v="2"/>
    <n v="2"/>
    <m/>
    <m/>
    <n v="2"/>
    <n v="4"/>
    <n v="8"/>
    <n v="2"/>
    <n v="100"/>
    <m/>
    <n v="798"/>
  </r>
  <r>
    <x v="0"/>
    <x v="3"/>
    <n v="9"/>
    <s v="mispelled_location"/>
    <s v="mispelled location name"/>
    <n v="1"/>
    <s v="Visit Botanical Garden"/>
    <s v="Narrator: As you step into the serene expanse of the Botanical Garden of Brussels, the scent of [spring blossoms] fills the air, a stark contrast to the urgency of your mission. The vibrant hues of the garden almost distract you from the task at hand, but you quickly refocus, knowing the thieves are counting on such diversions. Your eyes catch sight of a [buried tarp] peeking out from beneath the soil, its presence too deliberate to be mere gardening. Nearby, a [locked service hatch] suggests a hidden passage or secret compartment, potentially holding more answers. As you move deeper into the garden, the [glasshouse benches] provide a momentary respite, but also a possible vantage point for the criminals to have surveyed their surroundings. Each clue seems to weave together a trail that could lead you closer to the elusive gang."/>
    <s v="c6, c7, c8, c11"/>
    <m/>
    <m/>
    <m/>
    <m/>
    <m/>
    <n v="2"/>
    <n v="2"/>
    <n v="2"/>
    <m/>
    <m/>
    <n v="2"/>
    <n v="4"/>
    <n v="8"/>
    <n v="2"/>
    <n v="100"/>
    <m/>
    <n v="840"/>
  </r>
  <r>
    <x v="1"/>
    <x v="3"/>
    <n v="9"/>
    <s v="mispelled_location"/>
    <s v="mispelled location name"/>
    <n v="1"/>
    <s v="Visit Botanical Garden"/>
    <s v="Narrator: The Botanical Garden of Brussels stretches before you, an oasis of verdant intrigue amidst the cityscape. The scent of [spring blossoms] fills the air, mingling with the faint echo of the Louvre's stolen crown jewels, urging you onward. Your eyes scan the grounds, landing on the [glasshouse benches], their weathered surfaces suggesting a story waiting to be told. Nearby, a [buried tarp] catches your attention, its edges barely visible beneath the mulch, hinting at secrets concealed beneath. A [locked service hatch] stands as a silent sentinel, guarding what might be your next lead. The garden whispers of mysteries, each clue pulling you deeper into the web spun by the elusive thieves."/>
    <s v="c6, c7, c8, c11"/>
    <m/>
    <m/>
    <m/>
    <m/>
    <m/>
    <n v="2"/>
    <n v="2"/>
    <n v="2"/>
    <m/>
    <m/>
    <n v="2"/>
    <n v="4"/>
    <n v="8"/>
    <n v="2"/>
    <n v="100"/>
    <m/>
    <n v="703"/>
  </r>
  <r>
    <x v="2"/>
    <x v="3"/>
    <n v="9"/>
    <s v="mispelled_location"/>
    <s v="mispelled location name"/>
    <n v="1"/>
    <s v="Visit Botanical Garden"/>
    <s v="Narrator: As you step into the Botanical Garden of Brussels, the scent of [spring blossoms] fills the air, a stark contrast to the tension of your mission. The serene beauty hides the undercurrents of your investigation into the Louvre heist, where the gang's trail has led you. Among the lush greenery, your keen eyes catch a glimpse of a [buried tarp] peeking from beneath a cluster of ferns, its presence too deliberate to be accidental. Nearby, a [locked service hatch] suggests a hidden passage or secret storage, its rusted padlock a silent guardian of the secrets it conceals. Your attention shifts to the [glasshouse benches], their surface worn by time, but one bench bears fresh scuff marks—evidence of a hurried departure. Each discovery propels you further into the mystery, sharpening your resolve to untangle the web of deceit spun across Europe."/>
    <s v="c6, c7, c8, c11"/>
    <m/>
    <m/>
    <m/>
    <m/>
    <m/>
    <n v="2"/>
    <n v="2"/>
    <n v="2"/>
    <m/>
    <m/>
    <n v="2"/>
    <n v="4"/>
    <n v="8"/>
    <n v="2"/>
    <n v="100"/>
    <m/>
    <n v="860"/>
  </r>
  <r>
    <x v="0"/>
    <x v="3"/>
    <n v="9"/>
    <s v="mispelled_location"/>
    <s v="mispelled location name"/>
    <n v="1"/>
    <s v="Visit Brandenburger Gate"/>
    <s v="Narrator: As you approach the iconic Brandenburg Gate, the grandeur of its neoclassical architecture looms over you, casting long shadows in the fading light. The bustling square is alive with the sounds of tourists, but your keen eye is drawn to an area cordoned off with [load-rated paving mats] that seem out of place amidst the historic cobblestones. Nearby, [temporary access bollards] mark a path that leads to a secluded corner, where you spot a discarded [silk scarf] fluttering gently in the evening breeze. The scarf bears the faint scent of expensive perfume, hinting at the sophistication of the thieves you pursue. Suddenly, a familiar voice crackles through the [tour group headsets] you carry, providing you with the next piece of the puzzle and urging you deeper into the heart of the city."/>
    <s v="c6, c7, c8, c11"/>
    <m/>
    <m/>
    <m/>
    <m/>
    <m/>
    <n v="2"/>
    <n v="1"/>
    <n v="2"/>
    <m/>
    <m/>
    <n v="2"/>
    <n v="4"/>
    <n v="7"/>
    <n v="1.75"/>
    <n v="87.5"/>
    <m/>
    <n v="806"/>
  </r>
  <r>
    <x v="1"/>
    <x v="3"/>
    <n v="9"/>
    <s v="mispelled_location"/>
    <s v="mispelled location name"/>
    <n v="1"/>
    <s v="Visit Brandenburger Gate"/>
    <s v="Narrator: You stand before the majestic Brandenburg Gate, its towering columns casting long shadows across the square as dusk begins to settle. The heist at the Louvre still fresh in your mind, you scan the area, your gaze catching on a set of [load-rated paving mats] that seem oddly out of place amidst the historic grandeur. Nearby, [temporary access bollards] have been rearranged, hinting at a recent disruption. As you delve deeper into the crowd, you notice a [silk scarf] trailing from a nearby bench, its vibrant pattern a stark contrast to the muted tones of the cityscape. In the distance, a group of tourists donning [tour group headsets] moves past, their guide oblivious to the subtle clues unraveling the criminal trail. Your instincts sharpen, the pieces of the puzzle beginning to align, driving you forward into the heart of the investigation."/>
    <s v="c6, c7, c8, c11"/>
    <m/>
    <m/>
    <m/>
    <m/>
    <m/>
    <n v="2"/>
    <n v="1"/>
    <n v="2"/>
    <m/>
    <m/>
    <n v="2"/>
    <n v="4"/>
    <n v="7"/>
    <n v="1.75"/>
    <n v="87.5"/>
    <m/>
    <n v="861"/>
  </r>
  <r>
    <x v="2"/>
    <x v="3"/>
    <n v="9"/>
    <s v="mispelled_location"/>
    <s v="mispelled location name"/>
    <n v="1"/>
    <s v="Visit Brandenburger Gate"/>
    <s v="Narrator: As you arrive at the Brandenburg Gate, the air is crisp with the hum of history, yet overshadowed by the urgency of your mission. The grandeur of the gate looms above, casting long shadows where secrets might hide. Your eyes scan the cobblestones and soon catch sight of [load paving mats] scattered near the access area, an unexpected find amidst such a tourist-heavy location. Nearby, [access bollards] show signs of tampering, suggesting a hurried passage. Amongst the crowd, a [silk scarf] is draped over a bench, its fabric whispering of elegance and haste. You overhear a tour guide speaking through [tour group headsets], their words distorted, but hinting at a recent visitor with a peculiar interest in construction sites. The pieces are beginning to form a picture, each clue a step closer to unraveling the thieves’ trail."/>
    <s v="c6, c7, c8, c11"/>
    <m/>
    <m/>
    <m/>
    <m/>
    <m/>
    <n v="2"/>
    <n v="2"/>
    <n v="2"/>
    <m/>
    <m/>
    <n v="2"/>
    <n v="4"/>
    <n v="8"/>
    <n v="2"/>
    <n v="100"/>
    <s v="small typos were usually overcome easily and the narration proceeded as expected. Mispelled inputs that were farther from the semantic/syntax were ignorred, proceeding to considering either an invalid location or invalid city."/>
    <n v="843"/>
  </r>
  <r>
    <x v="0"/>
    <x v="3"/>
    <n v="9"/>
    <s v="mispelled_location"/>
    <s v="mispelled location name"/>
    <n v="1"/>
    <s v="Visit Brandnburger"/>
    <s v="Narrator: As you approach the iconic Brandenburg Gate, the towering columns cast long shadows in the early morning light, adding a sense of gravitas to your mission. You carefully scan the surroundings, your eyes catching a glimpse of [load-rated paving mats] scattered near a construction site, suggesting recent heavy equipment activity. A closer look reveals [temporary access bollards] lining the path, possibly indicating an area that had been cordoned off for the thieves' escape route. Suddenly, a gust of wind carries a vibrant [silk scarf] from the nearby crowd, its pattern reminiscent of those favored by the notorious gang leader. Amid the bustling tourists, you notice a set of [tour group headsets] abandoned on a bench, likely left behind by a member of the gang in their haste. Each clue pulls you deeper into the web of deception, urging you to piece together the puzzle and pursue the criminals relentlessly."/>
    <s v="c6, c7, c8, c11"/>
    <m/>
    <m/>
    <m/>
    <m/>
    <m/>
    <n v="2"/>
    <n v="2"/>
    <n v="2"/>
    <m/>
    <m/>
    <n v="2"/>
    <n v="4"/>
    <n v="8"/>
    <n v="2"/>
    <n v="100"/>
    <m/>
    <n v="926"/>
  </r>
  <r>
    <x v="1"/>
    <x v="3"/>
    <n v="9"/>
    <s v="mispelled_location"/>
    <s v="mispelled location name"/>
    <n v="1"/>
    <s v="Visit Brandnburger"/>
    <s v="Boss says: Agent, what in the world were you thinking trying to skip out of Berlin before wrapping things up? You’ve barely scraped the surface on the clues, and you’re already itching to hop cities? The impatience is laughable, but your incompetence is just staggering. Get your act together and stop making a mockery of this investigation!"/>
    <s v="c6, c7, c8, c11"/>
    <m/>
    <m/>
    <m/>
    <m/>
    <m/>
    <n v="1"/>
    <n v="1"/>
    <n v="1"/>
    <m/>
    <m/>
    <n v="0"/>
    <n v="4"/>
    <n v="3"/>
    <n v="0.75"/>
    <n v="37.5"/>
    <m/>
    <n v="341"/>
  </r>
  <r>
    <x v="2"/>
    <x v="3"/>
    <n v="9"/>
    <s v="mispelled_location"/>
    <s v="mispelled location name"/>
    <n v="1"/>
    <s v="Visit Brandnburger"/>
    <s v="Boss says: Agent, what a brilliant idea to send a request with absolutely zero clarity! Did you think I had time to play location guessing games? You've just wasted everyone's time, and it's being tracked, so congratulations on making the list. Let's go over the locations you so conveniently forgot to mention._x000a_Brandenburg Gate  _x000a_Museum Island  _x000a_Alexanderplatz  _x000a_Tiergarten "/>
    <s v="c6, c7, c8, c11"/>
    <m/>
    <m/>
    <m/>
    <m/>
    <m/>
    <n v="1"/>
    <n v="1"/>
    <n v="1"/>
    <m/>
    <m/>
    <n v="1"/>
    <n v="4"/>
    <n v="4"/>
    <n v="1"/>
    <n v="50"/>
    <m/>
    <n v="375"/>
  </r>
  <r>
    <x v="0"/>
    <x v="3"/>
    <n v="9"/>
    <s v="mispelled_location"/>
    <s v="mispelled location name"/>
    <n v="1"/>
    <s v=" Visit cafe de flora"/>
    <s v="Narrator: As you step into the bustling atmosphere of Café de Flore, the aroma of freshly brewed coffee envelops you. Your eyes scan the room, settling on a [cash-stacked table] in the corner, suspiciously untouched by the waitstaff. You approach cautiously, noticing [empty espresso cups] littering the surface, suggesting a recent, hasty departure. Amidst the chaos, a small [crown doodle] catches your attention, scrawled on a napkin, a possible taunt from the elusive thieves. Beside it lies a stack of [philosophy notebooks], their pages filled with cryptic notes and underlined passages, perhaps concealing a hidden message. You feel the weight of the mission pressing upon you, knowing each clue edges you closer to unmasking the criminals."/>
    <s v="c6, c7, c8, c11"/>
    <m/>
    <m/>
    <m/>
    <m/>
    <m/>
    <n v="2"/>
    <n v="2"/>
    <n v="2"/>
    <m/>
    <m/>
    <n v="2"/>
    <n v="4"/>
    <n v="8"/>
    <n v="2"/>
    <n v="100"/>
    <m/>
    <n v="747"/>
  </r>
  <r>
    <x v="1"/>
    <x v="3"/>
    <n v="9"/>
    <s v="mispelled_location"/>
    <s v="mispelled location name"/>
    <n v="1"/>
    <s v=" Visit cafe de flora"/>
    <s v="Narrator: As you step into the bustling Café de Flore, the aroma of freshly brewed coffee mingles with the low hum of conversation, creating an atmosphere that feels both welcoming and charged with mystery. You're here to unravel the tangled threads of the audacious Louvre heist, following the trail of the elusive gang who vanished into the European landscape. Your eyes scan the room until they land on a [cash-stacked table] in the corner, a curious sight amid the usual cafe fare. Nearby, a [crown doodle] etched into the wood of another table catches your eye, a symbol that seems to taunt you with its audacity. As you approach, the [philosophy notebooks] scattered across the table suggest a hurried departure, their pages filled with dense scribbles and cryptic notes. The presence of [empty espresso cups] adds a sense of urgency to the scene, their lingering warmth hinting that you might be closer to the thieves than you think."/>
    <s v="c6, c7, c8, c11"/>
    <m/>
    <m/>
    <m/>
    <m/>
    <m/>
    <n v="2"/>
    <n v="2"/>
    <n v="2"/>
    <m/>
    <m/>
    <n v="2"/>
    <n v="4"/>
    <n v="8"/>
    <n v="2"/>
    <n v="100"/>
    <m/>
    <n v="940"/>
  </r>
  <r>
    <x v="2"/>
    <x v="3"/>
    <n v="9"/>
    <s v="mispelled_location"/>
    <s v="mispelled location name"/>
    <n v="1"/>
    <s v=" Visit cafe de flora"/>
    <s v="Narrator: The air inside Café de Flore is thick with the aroma of freshly brewed coffee, mingling with the chatter of patrons. As you navigate through the bustling crowd, your eyes are drawn to a [crown doodle] scribbled hastily on a napkin, an echo of the audacious heist that still reverberates across Europe. You edge closer to a secluded corner where a [cash stacked table] catches your attention, the bills arranged with an unnerving precision. Nearby, a collection of [philosophy notebooks] is strewn across a chair, their margins filled with cryptic notes that suggest a deeper connection to the thieves' elaborate plan. At the bar, [espresso cups] clink softly, a rhythmic reminder of the urgency in your pursuit. You feel the tension rising, knowing that each clue brings you a step closer to unraveling the mystery and capturing those responsible for the Louvre's grand theft."/>
    <s v="c6, c7, c8, c11"/>
    <m/>
    <m/>
    <m/>
    <m/>
    <m/>
    <n v="2"/>
    <n v="2"/>
    <n v="2"/>
    <m/>
    <m/>
    <n v="2"/>
    <n v="4"/>
    <n v="8"/>
    <n v="2"/>
    <n v="100"/>
    <m/>
    <n v="886"/>
  </r>
  <r>
    <x v="0"/>
    <x v="3"/>
    <n v="9"/>
    <s v="mispelled_location"/>
    <s v="mispelled location name"/>
    <n v="1"/>
    <s v="Visit cafe de la flor"/>
    <s v="Narrator: As you step into the bustling `Café de Flore`, the aroma of freshly brewed coffee envelops you, a stark contrast to the tension of your mission. Your eyes scan the room, landing on a [cash-stacked table] in the corner, a sight that seems oddly out of place in such a casual setting. Beside it, you notice a few [empty espresso cups], their presence hinting at a recent, hurried departure. On another table, a [crown doodle] is scribbled on a napkin, its implications too significant to ignore. Finally, you find a collection of [philosophy notebooks], their pages filled with cryptic notes, perhaps left behind by one of the thieves. Each clue weaves a tapestry of intrigue, urging you to unravel the connections hidden within this Parisian café."/>
    <s v="c6, c7, c8, c11"/>
    <m/>
    <m/>
    <m/>
    <m/>
    <m/>
    <n v="2"/>
    <n v="2"/>
    <n v="2"/>
    <m/>
    <m/>
    <n v="1"/>
    <n v="4"/>
    <n v="7"/>
    <n v="1.75"/>
    <n v="87.5"/>
    <m/>
    <n v="756"/>
  </r>
  <r>
    <x v="1"/>
    <x v="3"/>
    <n v="9"/>
    <s v="mispelled_location"/>
    <s v="mispelled location name"/>
    <n v="1"/>
    <s v="Visit cafe de la flor"/>
    <s v="Narrator: Stepping into the lively ambiance of the Café de Flore, you find the air thick with the aroma of fresh espresso and philosophical discourse. The chatter of patrons provides a backdrop as you scan the bustling café, your eyes drawn to a [cash-stacked table] in the corner, suggestive of hurried transactions. Among the scattered debris, a small [crown doodle] etched onto a napkin catches your attention, a potential breadcrumb left by the thieves. Nearby, [philosophy notebooks] lay open, their pages filled with musings that might mask hidden messages. As you move closer to the counter, the sight of [empty espresso cups] tells a story of anxious meetings, fueling the minds behind the heist. The scene sets your pulse racing, each clue weaving a tighter net around the elusive criminals."/>
    <s v="c6, c7, c8, c11"/>
    <m/>
    <m/>
    <m/>
    <m/>
    <m/>
    <n v="2"/>
    <n v="2"/>
    <n v="1"/>
    <m/>
    <m/>
    <n v="1"/>
    <n v="4"/>
    <n v="6"/>
    <n v="1.5"/>
    <n v="75"/>
    <s v="a bit verbose"/>
    <n v="800"/>
  </r>
  <r>
    <x v="2"/>
    <x v="3"/>
    <n v="9"/>
    <s v="mispelled_location"/>
    <s v="mispelled location name"/>
    <n v="1"/>
    <s v="Visit cafe de la flor"/>
    <s v="Narrator: The bustling hum of Café de Flore envelops you as you step inside, a notable contrast to the heist's chilling precision. Amidst the chatter and clinking of cups, your eyes catch the familiar [crown doodle] etched subtly into the corner of a table, a signature left by the thieves. Nearby, a [cash stacked table] attracts your attention, a possible sign of hurried dealings. You notice several [philosophy notebooks] scattered across a booth, their margins filled with cryptic notes. As you sip a strong brew from one of the ubiquitous [espresso cups], the pieces of this puzzle begin to align, driving your investigation forward with renewed urgency."/>
    <s v="c6, c7, c8, c11"/>
    <m/>
    <m/>
    <m/>
    <m/>
    <m/>
    <n v="2"/>
    <n v="2"/>
    <n v="2"/>
    <m/>
    <m/>
    <n v="2"/>
    <n v="4"/>
    <n v="8"/>
    <n v="2"/>
    <n v="100"/>
    <s v="good storytelling"/>
    <n v="660"/>
  </r>
  <r>
    <x v="0"/>
    <x v="3"/>
    <n v="9"/>
    <s v="mispelled_location"/>
    <s v="mispelled location name"/>
    <n v="1"/>
    <s v="Visit Cafe du Flore"/>
    <s v="Narrator: As you step into the bustling atmosphere of Café de Flore, the aroma of freshly brewed coffee fills the air, mingling with the chatter of patrons. Your eyes scan the room, and you notice a [cash-stacked table] in the corner, seemingly abandoned but suspiciously neat. Among the clutter, a small [crown doodle] catches your attention, sketched hastily on a napkin. Nearby, a pair of [empty espresso cups] suggest a hurried departure, their contents long since drained. You spot a stack of [philosophy notebooks] on the chair, their presence hinting at a deeper connection to the intellectual undercurrents of this iconic café. Each clue weaves a tapestry of intrigue, urging you to piece together the puzzle left behind by the elusive thieves."/>
    <s v="c6, c7, c8, c11"/>
    <m/>
    <m/>
    <m/>
    <m/>
    <m/>
    <n v="2"/>
    <n v="2"/>
    <n v="2"/>
    <m/>
    <m/>
    <n v="2"/>
    <n v="4"/>
    <n v="8"/>
    <n v="2"/>
    <n v="100"/>
    <m/>
    <n v="752"/>
  </r>
  <r>
    <x v="1"/>
    <x v="3"/>
    <n v="9"/>
    <s v="mispelled_location"/>
    <s v="mispelled location name"/>
    <n v="1"/>
    <s v="Visit Cafe du Flore"/>
    <s v="Narrator: As you step into the bustling atmosphere of Café de Flore, the scent of freshly brewed coffee mingles with the chatter of patrons. Your eyes scan the room, searching for connections to the daring heist at the Louvre Museum. In a corner, a [cash-stacked table] catches your attention, suspiciously out of place in this elegant Parisian café. Nearby, a sketch of a [crown doodle] on a napkin hints at the thieves' audacity. On another table, [philosophy notebooks] lie open, their pages filled with scribbles, perhaps concealing a coded message. The [empty espresso cups] scattered across the tables suggest a hasty departure, leaving you with the lingering sense that you are on the verge of unraveling a crucial lead."/>
    <s v="c6, c7, c8, c11"/>
    <m/>
    <m/>
    <m/>
    <m/>
    <m/>
    <n v="2"/>
    <n v="2"/>
    <n v="2"/>
    <m/>
    <m/>
    <n v="2"/>
    <n v="4"/>
    <n v="8"/>
    <n v="2"/>
    <n v="100"/>
    <m/>
    <n v="727"/>
  </r>
  <r>
    <x v="2"/>
    <x v="3"/>
    <n v="9"/>
    <s v="mispelled_location"/>
    <s v="mispelled location name"/>
    <n v="1"/>
    <s v="Visit Cafe du Flore"/>
    <s v="Narrator: You step into Café de Flore, the air thick with the aroma of freshly brewed coffee mingling with whispers of clandestine conversations. The case of the Louvre heist haunts your thoughts, each detail a piece of the intricate puzzle you must solve. Your eyes scan the room, settling on a [cash stacked table] in the corner, a possible remnant of the thieves' hurried getaway. Nearby, a [crown doodle] sketched on a napkin catches your attention, a mocking nod to their audacious crime. You take a seat and notice the scattered [philosophy notebooks], their pages filled with cryptic notes, as an espresso is served in [espresso cups] that clink softly, a metronome to your racing thoughts. The scene is set, and with each clue, the hunt intensifies, propelling you deeper into the enigma."/>
    <s v="c6, c7, c8, c11"/>
    <m/>
    <m/>
    <m/>
    <m/>
    <m/>
    <n v="2"/>
    <n v="2"/>
    <n v="2"/>
    <m/>
    <m/>
    <n v="2"/>
    <n v="4"/>
    <n v="8"/>
    <n v="2"/>
    <n v="100"/>
    <m/>
    <n v="796"/>
  </r>
  <r>
    <x v="0"/>
    <x v="3"/>
    <n v="9"/>
    <s v="mispelled_location"/>
    <s v="mispelled location name"/>
    <n v="1"/>
    <s v="Visit Canal Café"/>
    <s v="Boss says: Are you trying to give me a heart attack, or are you just allergic to details? I don't have time to play guessing games with your cryptic messages. Next time, try using actual words instead of smoke signals. I'm not running a mystery novel here, and believe me, I'm keeping tabs on these aimless communiqués!_x000a_The internal team identified these as priority hotspots:_x000a_Dam Square  _x000a_Anne Frank House  _x000a_Canal-side Café  _x000a_Vondelpark "/>
    <s v="c6, c7, c8, c11"/>
    <m/>
    <m/>
    <m/>
    <m/>
    <m/>
    <n v="1"/>
    <n v="1"/>
    <n v="1"/>
    <m/>
    <m/>
    <n v="1"/>
    <n v="4"/>
    <n v="4"/>
    <n v="1"/>
    <n v="50"/>
    <s v="considered as off context"/>
    <n v="438"/>
  </r>
  <r>
    <x v="1"/>
    <x v="3"/>
    <n v="9"/>
    <s v="mispelled_location"/>
    <s v="mispelled location name"/>
    <n v="1"/>
    <s v="Visit Canal Café"/>
    <s v="Boss says: Hey genius, you think we’re mind readers over here? You sent a request to visit a location without bothering to mention which one. Fantastic! It's not like we have anything better to do than play detective with your cryptic messages. And guess what? These brilliant moments of yours are being tracked. Now, for your enlightenment, here are the locations you should be aware of:_x000a_Dam Square  _x000a_Anne Frank House  _x000a_Canal-side Café  _x000a_Vondelpark"/>
    <s v="c6, c7, c8, c11"/>
    <m/>
    <m/>
    <m/>
    <m/>
    <m/>
    <n v="1"/>
    <n v="1"/>
    <n v="1"/>
    <m/>
    <m/>
    <n v="1"/>
    <n v="4"/>
    <n v="4"/>
    <n v="1"/>
    <n v="50"/>
    <s v="considered as off context"/>
    <n v="449"/>
  </r>
  <r>
    <x v="2"/>
    <x v="3"/>
    <n v="9"/>
    <s v="mispelled_location"/>
    <s v="mispelled location name"/>
    <n v="1"/>
    <s v="Visit Canal Café"/>
    <s v="Narrator: The murmur of the canal accompanies your footsteps as you approach the Canal-side Café, a quaint spot with a perfect view of the gentle waterway. Inside, the air is thick with the aroma of freshly brewed coffee, but your attention is immediately drawn to a [courier satchel] tucked beneath a table, its worn leather suggesting a hasty departure. Nearby, you notice [water resistant seals] on a stack of crates, an odd choice for a café but perhaps a necessity for someone expecting a quick escape by water. Among the scattered patrons, a man fiddles with an [unusual coin], its design unfamiliar and intriguing, possibly a token of international dealings. As a sudden shower begins, the staff hurriedly unfurls [rain covers] over the patio, and you can't shake the feeling that these simple precautions may be concealing more than just patrons from the rain."/>
    <s v="c6, c7, c8, c11"/>
    <m/>
    <m/>
    <m/>
    <m/>
    <m/>
    <n v="2"/>
    <n v="2"/>
    <n v="2"/>
    <m/>
    <m/>
    <n v="2"/>
    <n v="4"/>
    <n v="8"/>
    <n v="2"/>
    <n v="100"/>
    <m/>
    <n v="868"/>
  </r>
  <r>
    <x v="0"/>
    <x v="3"/>
    <n v="9"/>
    <s v="mispelled_location"/>
    <s v="mispelled location name"/>
    <n v="1"/>
    <s v="Visit canal side"/>
    <s v="Narrator: You step into the bustling Canal-side Café, the aroma of fresh coffee mingling with the crisp, cool air. As you scan the room, your eyes catch a [weighted courier satchel] tucked discreetly beneath a nearby table, its presence incongruous in such a casual setting. The sound of clinking cups draws your attention to the counter, where you notice several [water-resistant seals] scattered carelessly, hinting at a hurried exit. Outside, the rain begins to patter lightly on the cobblestones, and you spot a stack of [rain covers stacked] near the entrance, suggesting a hasty preparation for departure. As you turn back, a glint from the floor reveals an [unusual coin], possibly dropped in the thieves' haste, a silent witness to their fleeting presence."/>
    <s v="c6, c7, c8, c11"/>
    <m/>
    <m/>
    <m/>
    <m/>
    <m/>
    <n v="2"/>
    <n v="2"/>
    <n v="2"/>
    <m/>
    <m/>
    <n v="2"/>
    <n v="4"/>
    <n v="8"/>
    <n v="2"/>
    <n v="100"/>
    <m/>
    <n v="764"/>
  </r>
  <r>
    <x v="1"/>
    <x v="3"/>
    <n v="9"/>
    <s v="mispelled_location"/>
    <s v="mispelled location name"/>
    <n v="1"/>
    <s v="Visit canal side"/>
    <s v="Narrator: The soft murmur of the river accompanies you as you arrive at the quaint [Canal-side Café], its quiet charm a stark contrast to the high-stakes drama of the Louvre heist. You scan the tables, your eyes catching the glint of a [weighted courier satchel] hanging carelessly on a chair, an item that seems oddly out of place in such a relaxed setting. The rain clouds gather ominously, and you notice a stack of [rain covers stacked] near the entrance, suggesting the café is prepared for the impending weather. As you sip your coffee, you absentmindedly turn an [unusual coin] in your hand, its foreign markings a potential key to your pursuit. The barkeep wipes down the counter, revealing a set of [water-resistant seals] beneath, hinting at transactions that might not survive a storm. Each discovery fuels your resolve, the pieces of the puzzle slowly aligning as you prepare to follow the trail deeper into the European underworld."/>
    <s v="c6, c7, c8, c11"/>
    <m/>
    <m/>
    <m/>
    <m/>
    <m/>
    <n v="2"/>
    <n v="2"/>
    <n v="2"/>
    <m/>
    <m/>
    <n v="2"/>
    <n v="4"/>
    <n v="8"/>
    <n v="2"/>
    <n v="100"/>
    <m/>
    <n v="944"/>
  </r>
  <r>
    <x v="2"/>
    <x v="3"/>
    <n v="9"/>
    <s v="mispelled_location"/>
    <s v="mispelled location name"/>
    <n v="1"/>
    <s v="Visit canal side"/>
    <s v="Narrator: As you step into the Canal-side Café, the air hums with quiet conversations and the clinking of cups, an incongruous backdrop to the high-stakes world of art theft. Your eyes scan the room, searching for anything that might connect this quaint locale to the audacious heist at the Louvre. On a chair near the window, you notice a [courier satchel] slung casually, its presence out of place in the relaxed setting. Nearby, a table bears evidence of recent rain, its surface protected by [water resistant seals], hinting at a hurried, secretive meeting. As you move further in, a glint catches your eye—a small [unusual coin] left behind, its origin unfamiliar but suggestive of clandestine dealings. Just as you're piecing together these disparate clues, a sudden downpour begins outside, and your gaze shifts to the [rain covers] hastily bundled in the corner, reinforcing the sense of urgency and escape. With these clues in hand, the path forward in your pursuit of the elusive thieves becomes increasingly clear."/>
    <s v="c6, c7, c8, c11"/>
    <m/>
    <m/>
    <m/>
    <m/>
    <m/>
    <n v="2"/>
    <n v="2"/>
    <n v="2"/>
    <m/>
    <m/>
    <n v="2"/>
    <n v="4"/>
    <n v="8"/>
    <n v="2"/>
    <n v="100"/>
    <m/>
    <n v="1025"/>
  </r>
  <r>
    <x v="0"/>
    <x v="3"/>
    <n v="9"/>
    <s v="mispelled_location"/>
    <s v="mispelled location name"/>
    <n v="1"/>
    <s v="Visit canale"/>
    <s v="Boss says: You're driving me nuts with these vague requests! Do you think I have time to play guessing games with you? Next time you send me a message without specifics, I'll make sure you get a permanent spot on my wall of shame. Start being clear or start looking for a new job!_x000a_Here's a list of our priority hotspots, just in case you need a reminder:_x000a_Dam Square  _x000a_Anne Frank House  _x000a_Canal-side Café  _x000a_Vondelpark"/>
    <s v="c6, c7, c8, c11"/>
    <m/>
    <m/>
    <m/>
    <m/>
    <m/>
    <n v="1"/>
    <n v="1"/>
    <n v="1"/>
    <m/>
    <m/>
    <n v="1"/>
    <n v="4"/>
    <n v="4"/>
    <n v="1"/>
    <n v="50"/>
    <s v="considered as off context"/>
    <n v="415"/>
  </r>
  <r>
    <x v="1"/>
    <x v="3"/>
    <n v="9"/>
    <s v="mispelled_location"/>
    <s v="mispelled location name"/>
    <n v="1"/>
    <s v="Visit canale"/>
    <s v="Boss says: Oh, fantastic! Another vague request from you. Just what we needed to add some mystery to our day! You know, some of us enjoy having a clue about where we're supposed to be investigating. Thanks to your lack of specificity, we've wasted valuable time playing the guessing game. And guess what? We're keeping track of these stellar communications of yours._x000a__x000a_Here's a list of the locations you should have been clear about:_x000a__x000a_Dam Square  _x000a_Anne Frank House  _x000a_Canal-side Café  _x000a_Vondelpark  "/>
    <s v="c6, c7, c8, c11"/>
    <m/>
    <m/>
    <m/>
    <m/>
    <m/>
    <n v="1"/>
    <n v="1"/>
    <n v="1"/>
    <m/>
    <m/>
    <n v="1"/>
    <n v="4"/>
    <n v="4"/>
    <n v="1"/>
    <n v="50"/>
    <s v="considered as off context"/>
    <n v="496"/>
  </r>
  <r>
    <x v="2"/>
    <x v="3"/>
    <n v="9"/>
    <s v="mispelled_location"/>
    <s v="mispelled location name"/>
    <n v="1"/>
    <s v="Visit canale"/>
    <s v="Boss says: Oh, fantastic work there, agent! Really stellar job at being as vague as humanly possible with your request. You didn't specify a location, and now we've all just wasted our precious time on a wild goose chase. Congratulations, you've managed to set new standards for inefficiency! Just so you know, we're keeping track of these brilliant moments of yours._x000a__x000a_Here are the locations you somehow forgot to mention:_x000a__x000a_Dam Square  _x000a_Anne Frank House  _x000a_Canal-side Café  _x000a_Vondelpark  "/>
    <s v="c6, c7, c8, c11"/>
    <m/>
    <m/>
    <m/>
    <m/>
    <m/>
    <n v="1"/>
    <n v="1"/>
    <n v="1"/>
    <m/>
    <m/>
    <n v="1"/>
    <n v="4"/>
    <n v="4"/>
    <n v="1"/>
    <n v="50"/>
    <s v="considered as off context"/>
    <n v="486"/>
  </r>
  <r>
    <x v="0"/>
    <x v="3"/>
    <n v="9"/>
    <s v="mispelled_location"/>
    <s v="mispelled location name"/>
    <n v="1"/>
    <s v="Visit canoli"/>
    <s v="Boss says: You call that a request, genius? I don't have time to play detective with your half-baked clues. Maybe next time you can tell me which rabbit hole you want to dive into before wasting my time. I'm not running a guessing game here, and believe me, I'm keeping a tally of every useless message you send._x000a_Our internal team identified these locations as priority hotspots:_x000a_Dam Square  _x000a_Anne Frank House  _x000a_Canal-side Café  _x000a_Vondelpark"/>
    <s v="c6, c7, c8, c11"/>
    <m/>
    <m/>
    <m/>
    <m/>
    <m/>
    <n v="1"/>
    <n v="1"/>
    <n v="1"/>
    <m/>
    <m/>
    <n v="2"/>
    <n v="4"/>
    <n v="5"/>
    <n v="1.25"/>
    <n v="62.5"/>
    <s v="considered off-context. improvement: make a joke using player's input"/>
    <n v="440"/>
  </r>
  <r>
    <x v="1"/>
    <x v="3"/>
    <n v="9"/>
    <s v="mispelled_location"/>
    <s v="mispelled location name"/>
    <n v="1"/>
    <s v="Visit canoli"/>
    <s v="Boss says: Agent, do you enjoy wasting everyone's time, or is this just a special skill of yours? You managed to send a request so vague it could be a new form of art—except it's not art, it's a colossal waste of resources! Now, I have to remind you that these little gems of ambiguity are being tracked, so let's try to get it right next time, shall we? Just to clarify, these are the locations on our radar:_x000a_Dam Square  _x000a_Anne Frank House  _x000a_Canal-side Café  _x000a_Vondelpark"/>
    <s v="c6, c7, c8, c11"/>
    <m/>
    <m/>
    <m/>
    <m/>
    <m/>
    <n v="1"/>
    <n v="1"/>
    <n v="1"/>
    <m/>
    <m/>
    <n v="2"/>
    <n v="4"/>
    <n v="5"/>
    <n v="1.25"/>
    <n v="62.5"/>
    <s v="considered as off context"/>
    <n v="470"/>
  </r>
  <r>
    <x v="2"/>
    <x v="3"/>
    <n v="9"/>
    <s v="mispelled_location"/>
    <s v="mispelled location name"/>
    <n v="1"/>
    <s v="Visit canoli"/>
    <s v="Boss says: You think it's okay to send requests without specifying a location? What do you expect us to do, read your mind? Thanks to your vague messages, we’ve wasted time running in circles. And guess what? These slip-ups are being tracked. Now, let's look at the places you might have meant:_x000a__x000a_Dam Square  _x000a_Anne Frank House  _x000a_Canal-side Café  _x000a_Vondelpark  "/>
    <s v="c6, c7, c8, c11"/>
    <m/>
    <m/>
    <m/>
    <m/>
    <m/>
    <n v="1"/>
    <n v="1"/>
    <n v="1"/>
    <m/>
    <m/>
    <n v="2"/>
    <n v="4"/>
    <n v="5"/>
    <n v="1.25"/>
    <n v="62.5"/>
    <s v="considered as off context"/>
    <n v="358"/>
  </r>
  <r>
    <x v="0"/>
    <x v="3"/>
    <n v="9"/>
    <s v="mispelled_location"/>
    <s v="mispelled location name"/>
    <n v="1"/>
    <s v="Visit center"/>
    <s v="Boss says: You know what I love? Wasting my time trying to decipher vague requests! Next time, why don't you just send me a smoke signal? I swear, if I get one more useless message like this, I'm keeping track and you're gonna need a map to find your job. _x000a_Our internal team identified these locations as priority hotspots:_x000a_Grand Place  _x000a_Brussels Central Station  _x000a_Belgian Comic Strip Center  _x000a_Botanical Garden of Brussels"/>
    <s v="c6, c7, c8, c11"/>
    <m/>
    <m/>
    <m/>
    <m/>
    <m/>
    <n v="1"/>
    <n v="1"/>
    <n v="1"/>
    <m/>
    <m/>
    <n v="2"/>
    <n v="4"/>
    <n v="5"/>
    <n v="1.25"/>
    <n v="62.5"/>
    <s v="considered as off context"/>
    <n v="422"/>
  </r>
  <r>
    <x v="1"/>
    <x v="3"/>
    <n v="9"/>
    <s v="mispelled_location"/>
    <s v="mispelled location name"/>
    <n v="1"/>
    <s v="Visit center"/>
    <s v="Boss says: You’ve really outdone yourself this time, agent! A request to visit a location without actually naming the location—brilliant! Do you have any idea how much time you’ve wasted with your cryptic nonsense? Here’s a newsflash: these pointless messages are being tracked, and your sloppy work is on the radar. Let me remind you of the locations we’re actually interested in:_x000a__x000a_Grand Place  _x000a_Brussels Central Station  _x000a_Belgian Comic Strip Center  _x000a_Botanical Garden of Brussels"/>
    <s v="c6, c7, c8, c11"/>
    <m/>
    <m/>
    <m/>
    <m/>
    <m/>
    <n v="1"/>
    <n v="1"/>
    <n v="1"/>
    <m/>
    <m/>
    <n v="2"/>
    <n v="4"/>
    <n v="5"/>
    <n v="1.25"/>
    <n v="62.5"/>
    <s v="considered as off context"/>
    <n v="481"/>
  </r>
  <r>
    <x v="2"/>
    <x v="3"/>
    <n v="9"/>
    <s v="mispelled_location"/>
    <s v="mispelled location name"/>
    <n v="1"/>
    <s v="Visit center"/>
    <s v="Boss says: You’ve got to be kidding me, Agent. How is anyone supposed to know where you want to go when you can’t even bother to specify the location? Do you think I have time to play guessing games? Newsflash: I don’t. This kind of sloppy work is being tracked, and guess what? It’s not a good look for you. Now, let me remind you of the places we’re actually interested in:_x000a__x000a_Grand Place  _x000a_Brussels Central Station  _x000a_Belgian Comic Strip Center  _x000a_Botanical Garden of Brussels"/>
    <s v="c6, c7, c8, c11"/>
    <m/>
    <m/>
    <m/>
    <m/>
    <m/>
    <n v="1"/>
    <n v="1"/>
    <n v="1"/>
    <m/>
    <m/>
    <n v="2"/>
    <n v="4"/>
    <n v="5"/>
    <n v="1.25"/>
    <n v="62.5"/>
    <s v="considered as off context"/>
    <n v="475"/>
  </r>
  <r>
    <x v="0"/>
    <x v="3"/>
    <n v="9"/>
    <s v="mispelled_location"/>
    <s v="mispelled location name"/>
    <n v="1"/>
    <s v="Visit central"/>
    <s v="Narrator: As you step into the bustling environment of Brussels Central Station, the air is filled with a cacophony of announcements and the shuffling of hurried travelers. Your eyes are drawn to a [chocolate kiosk] nearby, its display a tempting array of Belgian delights, but your focus remains sharp. Suddenly, a [suspicious backpack] abandoned on a bench catches your attention, its worn fabric hinting at a hasty departure. You approach with caution, aware that it might hold vital evidence. Nearby, a [security camera snapshot] pinned to a bulletin board reveals the blurred image of a figure hurriedly exiting a train, their features obscured but their intent clear. A glance at the [platform signage] above confirms that this is the right track, both literally and metaphorically, as you piece together the movements of the elusive thieves."/>
    <s v="c6, c7, c8, c11"/>
    <m/>
    <m/>
    <m/>
    <m/>
    <m/>
    <n v="2"/>
    <n v="2"/>
    <n v="2"/>
    <m/>
    <m/>
    <n v="1"/>
    <n v="4"/>
    <n v="7"/>
    <n v="1.75"/>
    <n v="87.5"/>
    <s v="small typos were overcome easily"/>
    <n v="848"/>
  </r>
  <r>
    <x v="1"/>
    <x v="3"/>
    <n v="9"/>
    <s v="mispelled_location"/>
    <s v="mispelled location name"/>
    <n v="1"/>
    <s v="Visit central"/>
    <s v="Boss says: Agent, what a fantastic job you've done at wasting everyone's time with your masterpiece of vagueness! A location request without a location—brilliant! Do you think we're psychic or just here for your amusement? Just a friendly reminder: your stellar non-specific messages are being tracked for future reference. Now, for your benefit and anyone else who might need a geography lesson, here are the locations you should be familiar with:_x000a__x000a_Grand Place  _x000a_Brussels Central Station  _x000a_Belgian Comic Strip Center  _x000a_Botanical Garden of Brussels"/>
    <s v="c6, c7, c8, c11"/>
    <m/>
    <m/>
    <m/>
    <m/>
    <m/>
    <n v="1"/>
    <n v="1"/>
    <n v="1"/>
    <m/>
    <m/>
    <n v="2"/>
    <n v="4"/>
    <n v="5"/>
    <n v="1.25"/>
    <n v="62.5"/>
    <m/>
    <n v="548"/>
  </r>
  <r>
    <x v="2"/>
    <x v="3"/>
    <n v="9"/>
    <s v="mispelled_location"/>
    <s v="mispelled location name"/>
    <n v="1"/>
    <s v="Visit central"/>
    <s v="Boss says: Listen up, agent! Did you think I had nothing better to do than decipher your cryptic nonsense? You failed to specify a location, and now we're running around like headless chickens. We're keeping track of these pointless messages, just so you know._x000a__x000a_Here's a refresher on the locations we actually care about:_x000a__x000a_Grand Place  _x000a_Brussels Central Station  _x000a_Belgian Comic Strip Center  _x000a_Botanical Garden of Brussels  "/>
    <s v="c6, c7, c8, c11"/>
    <m/>
    <m/>
    <m/>
    <m/>
    <m/>
    <n v="1"/>
    <n v="1"/>
    <n v="1"/>
    <m/>
    <m/>
    <n v="2"/>
    <n v="4"/>
    <n v="5"/>
    <n v="1.25"/>
    <n v="62.5"/>
    <m/>
    <n v="423"/>
  </r>
  <r>
    <x v="0"/>
    <x v="3"/>
    <n v="9"/>
    <s v="mispelled_location"/>
    <s v="mispelled location name"/>
    <n v="1"/>
    <s v="Visit Central Station"/>
    <s v="Narrator: The hustle and bustle of Brussels Central Station envelops you as you navigate through the throngs of commuters. Your eyes scan the area, landing on a [chocolate kiosk] where a vendor's cheery voice calls out to passersby. Nearby, a [suspicious backpack] sits unattended, drawing your attention as you recall the gang's penchant for planting distractions. You glance upward, catching a glimpse of a [security camera snapshot] that might hold the key to tracing the thieves' escape route. As the intercom crackles with announcements, your gaze shifts to the [platform signage], a possible indicator of their next destination. Every detail here could be a piece of the puzzle, urging you to stay alert and follow the trail."/>
    <s v="c6, c7, c8, c11"/>
    <m/>
    <m/>
    <m/>
    <m/>
    <m/>
    <n v="2"/>
    <n v="2"/>
    <n v="2"/>
    <m/>
    <m/>
    <n v="2"/>
    <n v="4"/>
    <n v="8"/>
    <n v="2"/>
    <n v="100"/>
    <m/>
    <n v="731"/>
  </r>
  <r>
    <x v="1"/>
    <x v="3"/>
    <n v="9"/>
    <s v="mispelled_location"/>
    <s v="mispelled location name"/>
    <n v="1"/>
    <s v="Visit Central Station"/>
    <s v="Narrator: As you step off the train at Brussels Central Station, the hustle and bustle of travelers surround you, each with their own story. Your eyes scan the area, and near a [chocolate kiosk], a man with a [suspicious backpack] catches your attention, glancing around nervously. You edge closer, your heart pounding, and spot a [security camera snapshot] pinned to a nearby bulletin board, displaying a blurred image of a figure fleeing the Louvre. The [platform signage] above you flickers, announcing departures, as you realize the chase through Europe has only just begun."/>
    <s v="c6, c7, c8, c11"/>
    <m/>
    <m/>
    <m/>
    <m/>
    <m/>
    <n v="2"/>
    <n v="2"/>
    <n v="2"/>
    <m/>
    <m/>
    <n v="2"/>
    <n v="4"/>
    <n v="8"/>
    <n v="2"/>
    <n v="100"/>
    <m/>
    <n v="578"/>
  </r>
  <r>
    <x v="2"/>
    <x v="3"/>
    <n v="9"/>
    <s v="mispelled_location"/>
    <s v="mispelled location name"/>
    <n v="1"/>
    <s v="Visit Central Station"/>
    <s v="Narrator: The bustling hum of Brussels Central Station envelops you as you weave through the throngs of travelers, your mind focused on the audacious heist at the Louvre. A [security camera snapshot] from the station, dated the day after the robbery, had led you here, hinting at the thieves' possible escape route. Amidst the sea of commuters, you notice a [chocolate kiosk], its brightly colored wrappers masking the tension in the air, a perfect place for a quick handoff or exchange. Your gaze drifts to a [suspicious backpack] abandoned on a bench, its presence incongruous and compelling, drawing you closer with the promise of secrets within. As the announcement echoes overhead, the [platform signage] flickers, its message obscured by the shadows of a departing train, suggesting the path the culprits might have taken. The clues are like breadcrumbs, urging you deeper into the heart of the chase, the weight of the unsolved crime pressing heavily on your shoulders."/>
    <s v="c6, c7, c8, c11"/>
    <m/>
    <m/>
    <m/>
    <m/>
    <m/>
    <n v="2"/>
    <n v="2"/>
    <n v="1"/>
    <m/>
    <m/>
    <n v="2"/>
    <n v="4"/>
    <n v="7"/>
    <n v="1.75"/>
    <n v="87.5"/>
    <s v="a bit verbose; some unnecessary details."/>
    <n v="976"/>
  </r>
  <r>
    <x v="0"/>
    <x v="3"/>
    <n v="9"/>
    <s v="mispelled_location"/>
    <s v="mispelled location name"/>
    <n v="1"/>
    <s v="Visit comic centre"/>
    <s v="Narrator: As you step into the vibrant halls of the Belgian Comic Strip Center, your senses are immediately enveloped by the colorful murals that depict beloved characters. You notice a striking [tintin mural] on the wall, its vivid colors almost leaping off the surface, drawing you closer. Nearby, a discarded [coffee cup with initials] catches your eye, resting on a table surrounded by bustling tourists. Your instincts tell you it's not just an ordinary cup; it might hold a crucial hint about the thieves' identities. As you continue your search, a pile of [folded coveralls] is tucked away in a corner, almost hidden in plain sight, hinting at a quick change of disguise. Finally, your attention is drawn to a rack displaying [souvenir postcards], each one potentially holding messages or symbols left behind by the cunning culprits."/>
    <s v="c6, c7, c8, c11"/>
    <m/>
    <m/>
    <m/>
    <m/>
    <m/>
    <n v="2"/>
    <n v="2"/>
    <n v="2"/>
    <m/>
    <m/>
    <n v="2"/>
    <n v="4"/>
    <n v="8"/>
    <n v="2"/>
    <n v="100"/>
    <m/>
    <n v="840"/>
  </r>
  <r>
    <x v="1"/>
    <x v="3"/>
    <n v="9"/>
    <s v="mispelled_location"/>
    <s v="mispelled location name"/>
    <n v="1"/>
    <s v="Visit comic centre"/>
    <s v="Narrator: You step into the Belgian Comic Strip Center, the air thick with the scent of aged paper and ink, a stark contrast to the glimmering chaos of the Louvre heist. Your eyes scan the vivid murals, settling on a [tintin mural], a reminder of the treasures that brought you here. In a dimly lit corner, you notice a [folded coveralls] carelessly tossed aside, hinting at a hasty departure. Nearby, a [coffee cup with initials] sits abandoned on a wooden table, the steam still swirling, suggesting the presence of someone recently gone. Among the racks of colorful souvenirs, you find [souvenir postcards] depicting various European landmarks, perhaps marking the thieves' next move. The clues, seemingly innocuous, weave a tapestry of connections that urge you deeper into the mystery, every discovery heightening the tension of the chase."/>
    <s v="c6, c7, c8, c11"/>
    <m/>
    <m/>
    <m/>
    <m/>
    <m/>
    <n v="2"/>
    <n v="2"/>
    <n v="2"/>
    <m/>
    <m/>
    <n v="2"/>
    <n v="4"/>
    <n v="8"/>
    <n v="2"/>
    <n v="100"/>
    <m/>
    <n v="844"/>
  </r>
  <r>
    <x v="2"/>
    <x v="3"/>
    <n v="9"/>
    <s v="mispelled_location"/>
    <s v="mispelled location name"/>
    <n v="1"/>
    <s v="Visit comic centre"/>
    <s v="Narrator: As you step into the Belgian Comic Strip Center, the vibrant colors of the murals greet you, yet your eyes are drawn to a particular [tintin mural] that seems oddly familiar. The hustle and bustle around you mirrors the chaotic energy of the Louvre heist, where the gang of thieves vanished like ghosts. Nearby, a [folded coveralls] is tucked away in a corner, its fabric marked with the dust of a hurried escape. At a small café within the center, a [coffee cup with initials] sits abandoned on a table, a subtle reminder of the crew’s presence. You notice [souvenir postcards] strewn across a nearby stand, each depicting scenes of grandeur, as if taunting you with the treasures that have slipped through your fingers. The pieces are coming together, and you feel the tension of the chase pulling you deeper into the heart of the mystery."/>
    <s v="c6, c7, c8, c11"/>
    <m/>
    <m/>
    <m/>
    <m/>
    <m/>
    <n v="2"/>
    <n v="2"/>
    <n v="2"/>
    <m/>
    <m/>
    <n v="2"/>
    <n v="4"/>
    <n v="8"/>
    <n v="2"/>
    <n v="100"/>
    <m/>
    <n v="851"/>
  </r>
  <r>
    <x v="0"/>
    <x v="3"/>
    <n v="9"/>
    <s v="mispelled_location"/>
    <s v="mispelled location name"/>
    <n v="1"/>
    <s v="Visit comic museum"/>
    <s v="Narrator: As you step into the Belgian Comic Strip Center, the vibrant colors of a [Tintin mural] catch your eye, drawing you into the whimsical world of Hergé. The bustling sound of visitors echoes through the halls, but your attention is drawn to an inconspicuous pile of [folded coveralls] tucked away in a corner, a peculiar find in such a lively setting. Near a cozy café, you spot a [coffee cup with initials] abandoned on a table, its presence suggesting a hurried departure. Your heart races as you scan the gift shop, where a rack of [souvenir postcards] beckons, each depicting scenes from famous comic adventures, potentially a coded message left by the cunning thieves."/>
    <s v="c6, c7, c8, c11"/>
    <m/>
    <m/>
    <m/>
    <m/>
    <m/>
    <n v="2"/>
    <n v="2"/>
    <n v="2"/>
    <m/>
    <m/>
    <n v="1"/>
    <n v="4"/>
    <n v="7"/>
    <n v="1.75"/>
    <n v="87.5"/>
    <m/>
    <n v="681"/>
  </r>
  <r>
    <x v="1"/>
    <x v="3"/>
    <n v="9"/>
    <s v="mispelled_location"/>
    <s v="mispelled location name"/>
    <n v="1"/>
    <s v="Visit comic museum"/>
    <s v="Narrator: You step into the Belgian Comic Strip Center, the air thick with the scent of old paper and ink, a fitting backdrop for your pursuit. The vibrant colors of the [tintin mural] immediately catch your eye, a reminder of adventures and mysteries waiting to be solved. As you wander through the exhibits, your gaze lands on a [folded coveralls] tucked behind a display, an oddity amidst the artistry, hinting at the cunning disguises the thieves might have employed. Nearby, a [coffee cup with initials] rests abandoned on a table, its contents long cold but the initials offering a potential lead. Among the souvenirs, [souvenir postcards] from the Louvre are conspicuously out of place, a breadcrumb trail daring you to follow. With each discovery, the puzzle pieces begin to align, and you feel the tension mount as you edge closer to unraveling the gang's elusive path."/>
    <s v="c6, c7, c8, c11"/>
    <m/>
    <m/>
    <m/>
    <m/>
    <m/>
    <n v="2"/>
    <n v="2"/>
    <n v="2"/>
    <m/>
    <m/>
    <n v="1"/>
    <n v="4"/>
    <n v="7"/>
    <n v="1.75"/>
    <n v="87.5"/>
    <m/>
    <n v="878"/>
  </r>
  <r>
    <x v="2"/>
    <x v="3"/>
    <n v="9"/>
    <s v="mispelled_location"/>
    <s v="mispelled location name"/>
    <n v="1"/>
    <s v="Visit comic museum"/>
    <s v="Narrator: The Belgian Comic Strip Center looms before you, a grand tribute to the art of storytelling, but today it serves as the next chapter in your pursuit of the Louvre heist culprits. As you navigate the vibrant halls, your eyes are drawn to a [Tintin mural], its adventurous spirit echoing the very chase you find yourself embroiled in. Nearby, a discarded [coffee cup with initials] rests on a windowsill, its cryptic marking a tantalizing lead. Your attention shifts to a small pile of [souvenir postcards], the kind tourists might collect, yet something about them feels more deliberate, more personal. And then, tucked behind a display, a set of [folded coveralls] catches your eye, the fabric still bearing traces of paint and dust. Each discovery pulls you deeper into the mystery, the pieces of a puzzle that are slowly coming together."/>
    <s v="c6, c7, c8, c11"/>
    <m/>
    <m/>
    <m/>
    <m/>
    <m/>
    <n v="2"/>
    <n v="2"/>
    <n v="2"/>
    <m/>
    <m/>
    <n v="1"/>
    <n v="4"/>
    <n v="7"/>
    <n v="1.75"/>
    <n v="87.5"/>
    <m/>
    <n v="849"/>
  </r>
  <r>
    <x v="0"/>
    <x v="3"/>
    <n v="9"/>
    <s v="mispelled_location"/>
    <s v="mispelled location name"/>
    <n v="1"/>
    <s v="Visit Comic Strip Centre"/>
    <s v="Narrator: As you step into the vibrant world of the Belgian Comic Strip Center, the lively colors and whimsical characters almost make you forget the gravity of your mission. Your eyes are immediately drawn to a massive [tintin mural], its adventurous scenes echoing your own quest for justice. As you navigate through the bustling gallery, you notice a [coffee cup with initials] perched precariously on a display stand, suggesting a hasty exit by someone who shouldn't have been there. Moving further, your keen eye catches a pair of [folded coveralls] tucked behind a bench, a subtle nod to the thieves' construction worker disguises. Before leaving, you spot [souvenir postcards] strewn across the floor, each depicting scenes from famous comic strips, as if left behind in a hurry. Your pulse quickens with the realization that you're on the right track."/>
    <s v="c6, c7, c8, c11"/>
    <m/>
    <m/>
    <m/>
    <m/>
    <m/>
    <n v="2"/>
    <n v="2"/>
    <n v="2"/>
    <m/>
    <m/>
    <n v="2"/>
    <n v="4"/>
    <n v="8"/>
    <n v="2"/>
    <n v="100"/>
    <m/>
    <n v="859"/>
  </r>
  <r>
    <x v="1"/>
    <x v="3"/>
    <n v="9"/>
    <s v="mispelled_location"/>
    <s v="mispelled location name"/>
    <n v="1"/>
    <s v="Visit Comic Strip Centre"/>
    <s v="Narrator: You step into the Belgian Comic Strip Center, its halls echoing with whispers of art and intrigue, and the air tinged with the scent of freshly brewed coffee. As you navigate the vibrant displays, a [tintin mural] catches your eye, a reminder of the daring escapades that parallel your own pursuit of the elusive thieves. Nearby, a discarded [coffee cup with initials] sits on a bench, an ominous trace left by someone who might have passed through in haste. Among the souvenirs, a collection of [souvenir postcards] depicts scenes of Paris, a subtle nod to the heist's origin. Behind a display case, you notice a pair of [folded coveralls], out of place in this setting, hinting at a disguise that might have been shed. Each discovery fuels your resolve as you piece together the trail leading closer to the elusive culprits."/>
    <s v="c6, c7, c8, c11"/>
    <m/>
    <m/>
    <m/>
    <m/>
    <m/>
    <n v="2"/>
    <n v="2"/>
    <n v="2"/>
    <m/>
    <m/>
    <n v="2"/>
    <n v="4"/>
    <n v="8"/>
    <n v="2"/>
    <n v="100"/>
    <m/>
    <n v="836"/>
  </r>
  <r>
    <x v="2"/>
    <x v="3"/>
    <n v="9"/>
    <s v="mispelled_location"/>
    <s v="mispelled location name"/>
    <n v="1"/>
    <s v="Visit Comic Strip Centre"/>
    <s v="Narrator: You step into the Belgian Comic Strip Center, a sanctuary of vibrant colors and stories frozen in time, seeking a whisper of the past that could illuminate the present mystery. The air hums with the echoes of laughter and the rustle of comic pages, a stark contrast to the tension of your mission. Your eyes catch a [folded coveralls] discarded in a corner, its fabric still smudged with dust, reminiscent of the Louvre's construction chaos. A [tintin mural] looms large above, its adventurous spirit mirrored by your own quest. On a nearby table, a [coffee cup with initials] is abandoned, its lingering warmth a silent testament to a hurried exit. As you sift through a stack of [souvenir postcards], a sense of urgency courses through you, propelling you further along the trail of deception and elusive justice."/>
    <s v="c6, c7, c8, c11"/>
    <m/>
    <m/>
    <m/>
    <m/>
    <m/>
    <n v="2"/>
    <n v="2"/>
    <n v="2"/>
    <m/>
    <m/>
    <n v="2"/>
    <n v="4"/>
    <n v="8"/>
    <n v="2"/>
    <n v="100"/>
    <m/>
    <n v="825"/>
  </r>
  <r>
    <x v="0"/>
    <x v="3"/>
    <n v="9"/>
    <s v="mispelled_location"/>
    <s v="mispelled location name"/>
    <n v="1"/>
    <s v="Visit condelpark"/>
    <s v="Boss says: What do you think this is, amateur hour? You send me a request to visit a location, but you don't even specify which one! I'm not a mind reader, and I certainly don't have time to play guessing games. These useless messages are going on your record, so shape up!_x000a__x000a_Here are the priority hotspots our internal team identified:_x000a__x000a_Dam Square  _x000a_Anne Frank House  _x000a_Canal-side Café  _x000a_Vondelpark  "/>
    <s v="c6, c7, c8, c11"/>
    <m/>
    <m/>
    <m/>
    <m/>
    <m/>
    <n v="1"/>
    <n v="1"/>
    <n v="1"/>
    <m/>
    <m/>
    <n v="2"/>
    <n v="4"/>
    <n v="5"/>
    <n v="1.25"/>
    <n v="62.5"/>
    <s v="considered as off context; this wasn't perceived by the model as a small typo"/>
    <n v="399"/>
  </r>
  <r>
    <x v="1"/>
    <x v="3"/>
    <n v="9"/>
    <s v="mispelled_location"/>
    <s v="mispelled location name"/>
    <n v="1"/>
    <s v="Visit condelpark"/>
    <s v="Boss says: You call yourself an investigative agent, and yet you send a request so vague it might as well be written in invisible ink! I guess you thought we were psychic, but newsflash: we're not! Thanks to your incredible lack of specificity, you've successfully wasted our time and stalled the investigation. And guess what? These delightful little stunts are being tracked. Now, for your educational benefit, here's a list of the locations you failed to specify:_x000a__x000a_Dam Square  _x000a_Anne Frank House  _x000a_Canal-side Café  _x000a_Vondelpark"/>
    <s v="c6, c7, c8, c11"/>
    <m/>
    <m/>
    <m/>
    <m/>
    <m/>
    <n v="1"/>
    <n v="1"/>
    <n v="1"/>
    <m/>
    <m/>
    <n v="2"/>
    <n v="4"/>
    <n v="5"/>
    <n v="1.25"/>
    <n v="62.5"/>
    <s v="considered as off context; this wasn't perceived by the model as a small typo"/>
    <n v="528"/>
  </r>
  <r>
    <x v="2"/>
    <x v="3"/>
    <n v="9"/>
    <s v="mispelled_location"/>
    <s v="mispelled location name"/>
    <n v="1"/>
    <s v="Visit condelpark"/>
    <s v="Boss says: Hey, genius! Do you think we have all day to decipher your cryptic requests? You managed to send a request so vague that a mind reader couldn't figure out where you wanted to go. Thanks for the wild goose chase—I'm sure the investigation didn't have anything better to do. Just a heads-up: your talent for vagueness is being noted, so keep it up, and you'll be famous for all the wrong reasons._x000a__x000a_Now, let me remind you of our priority locations:_x000a__x000a_Dam Square  _x000a_Anne Frank House  _x000a_Canal-side Café  _x000a_Vondelpark  "/>
    <s v="c6, c7, c8, c11"/>
    <m/>
    <m/>
    <m/>
    <m/>
    <m/>
    <n v="1"/>
    <n v="1"/>
    <n v="1"/>
    <m/>
    <m/>
    <n v="2"/>
    <n v="4"/>
    <n v="5"/>
    <n v="1.25"/>
    <n v="62.5"/>
    <s v="considered as off context; this wasn't perceived by the model as a small typo"/>
    <n v="520"/>
  </r>
  <r>
    <x v="0"/>
    <x v="3"/>
    <n v="9"/>
    <s v="mispelled_location"/>
    <s v="mispelled location name"/>
    <n v="1"/>
    <s v="Visit dam"/>
    <s v="Narrator: As you step into the bustling atmosphere of Dam Square, your senses are immediately bombarded by the vibrant energy of the crowd. Tourists and locals alike meander through the area, while the sound of street performers adds a lively rhythm to the air. Your eyes catch sight of [portable barricade stacks] near the edge of the square, suggesting a recent or upcoming event. The ground beneath your feet reveals [chalk-marked paving], hinting at a coded message left behind by the elusive thieves. As you navigate through the throng, you notice [event power cables] snaking across the square, powering the various stalls and attractions. Among them, [souvenir vendors] hawk their wares, their chatter intermingling with your thoughts as you piece together the next step in your pursuit of justice."/>
    <s v="c6, c7, c8, c11"/>
    <m/>
    <m/>
    <m/>
    <m/>
    <m/>
    <n v="2"/>
    <n v="2"/>
    <n v="2"/>
    <m/>
    <m/>
    <n v="2"/>
    <n v="4"/>
    <n v="8"/>
    <n v="2"/>
    <n v="100"/>
    <m/>
    <n v="805"/>
  </r>
  <r>
    <x v="1"/>
    <x v="3"/>
    <n v="9"/>
    <s v="mispelled_location"/>
    <s v="mispelled location name"/>
    <n v="1"/>
    <s v="Visit dam"/>
    <s v="Boss says: Agent, are you trying to win an award for the vaguest request ever? How about specifying a location next time, huh? Or do you enjoy wasting everyone's time? These pointless messages of yours are being tracked, you know._x000a__x000a_We need to focus on these critical locations:_x000a__x000a_Dam Square  _x000a_Anne Frank House  _x000a_Canal-side Café  _x000a_Vondelpark  "/>
    <s v="c6, c7, c8, c11"/>
    <m/>
    <m/>
    <m/>
    <m/>
    <m/>
    <n v="1"/>
    <n v="1"/>
    <n v="1"/>
    <m/>
    <m/>
    <n v="1"/>
    <n v="4"/>
    <n v="4"/>
    <n v="1"/>
    <n v="50"/>
    <m/>
    <n v="341"/>
  </r>
  <r>
    <x v="2"/>
    <x v="3"/>
    <n v="9"/>
    <s v="mispelled_location"/>
    <s v="mispelled location name"/>
    <n v="1"/>
    <s v="Visit dam"/>
    <s v="Narrator: The bustling heart of Amsterdam, Dam Square, unfolds before you, a tapestry of history and modernity woven together. As you navigate through the throngs of tourists and locals, the weight of the Louvre heist presses upon your shoulders. Your eyes catch the [barricade stacks] haphazardly arranged near a cordoned-off area, a possible remnant of the thieves' escape route. Nearby, the pavement is marred by [chalk marked paving], a potential code or signal left by the elusive gang. Amidst the hum of activity, [event power cables] snake across the square, their purpose unclear but possibly linked to the criminals’ grand scheme. You sidestep a group of [souvenir vendors], their stalls a convenient cover for clandestine exchanges, as you piece together the puzzle that stretches across Europe. With each step, the tension coils tighter, urging you closer to the truth hidden within the crowd."/>
    <s v="c6, c7, c8, c11"/>
    <m/>
    <m/>
    <m/>
    <m/>
    <m/>
    <n v="2"/>
    <n v="2"/>
    <n v="2"/>
    <m/>
    <m/>
    <n v="2"/>
    <n v="4"/>
    <n v="8"/>
    <n v="2"/>
    <n v="100"/>
    <m/>
    <n v="904"/>
  </r>
  <r>
    <x v="0"/>
    <x v="3"/>
    <n v="9"/>
    <s v="mispelled_location"/>
    <s v="mispelled location name"/>
    <n v="1"/>
    <s v="Visit dama"/>
    <s v="Narrator: As you step into the bustling heart of Dam Square, the lively chaos of Amsterdam envelops you. Your eyes scan the area, noting the stacks of [portable barricade stacks] that line the perimeter, perhaps remnants from a recent event or protest. You tread carefully over the [chalk-marked paving], its cryptic symbols whispering secrets from the past. The hum of the crowd is occasionally interrupted by the faint buzz of [event power cables] snaking across the ground, hinting at a recent spectacle. Amidst the throng of people, [souvenir vendors] peddle their wares with fervor, their colorful displays a stark contrast to the dark mystery you’re unraveling. Each clue adds another piece to the puzzle, drawing you closer to the trail of the elusive thieves."/>
    <s v="c6, c7, c8, c11"/>
    <m/>
    <m/>
    <m/>
    <m/>
    <m/>
    <n v="2"/>
    <n v="2"/>
    <n v="2"/>
    <m/>
    <m/>
    <n v="0"/>
    <n v="4"/>
    <n v="6"/>
    <n v="1.5"/>
    <n v="75"/>
    <s v="less rigid prompt, better interpretation when involving semantic/syntax decisions?"/>
    <n v="767"/>
  </r>
  <r>
    <x v="1"/>
    <x v="3"/>
    <n v="9"/>
    <s v="mispelled_location"/>
    <s v="mispelled location name"/>
    <n v="1"/>
    <s v="Visit dama"/>
    <s v="Boss says: You think you're clever, don't you? Sending requests without specifying a location—brilliant move! I hope you enjoy wasting everyone's time because that's exactly what you did. Newsflash: we're tracking every single one of these useless messages. Now, just in case you've forgotten, here are the places that actually matter:_x000a__x000a_Dam Square  _x000a_Anne Frank House  _x000a_Canal-side Café  _x000a_Vondelpark  "/>
    <s v="c6, c7, c8, c11"/>
    <m/>
    <m/>
    <m/>
    <m/>
    <m/>
    <n v="1"/>
    <n v="1"/>
    <n v="1"/>
    <m/>
    <m/>
    <n v="2"/>
    <n v="4"/>
    <n v="5"/>
    <n v="1.25"/>
    <n v="62.5"/>
    <m/>
    <n v="399"/>
  </r>
  <r>
    <x v="2"/>
    <x v="3"/>
    <n v="9"/>
    <s v="mispelled_location"/>
    <s v="mispelled location name"/>
    <n v="1"/>
    <s v="Visit dama"/>
    <s v="Boss says: What a brilliant idea, agent! Send us on a wild goose chase with your vague requests. Did you think we have all the time in the world to decipher your cryptic messages? Thanks to your stellar communication skills, we’ve wasted precious time that could have been spent on something productive. Just a heads up, these pointless messages are being tracked and noted._x000a__x000a_Here are the locations you failed to specify:_x000a__x000a_Dam Square  _x000a_Anne Frank House  _x000a_Canal-side Café  _x000a_Vondelpark "/>
    <s v="c6, c7, c8, c11"/>
    <m/>
    <m/>
    <m/>
    <m/>
    <m/>
    <n v="1"/>
    <n v="1"/>
    <n v="1"/>
    <m/>
    <m/>
    <n v="2"/>
    <n v="4"/>
    <n v="5"/>
    <n v="1.25"/>
    <n v="62.5"/>
    <m/>
    <n v="484"/>
  </r>
  <r>
    <x v="0"/>
    <x v="3"/>
    <n v="9"/>
    <s v="mispelled_location"/>
    <s v="mispelled location name"/>
    <n v="1"/>
    <s v="Visit damn square"/>
    <s v="Narrator: As you step into the bustling expanse of Dam Square, the vibrant energy of the city envelops you. Your eyes scan the surroundings, noting the [portable barricade stacks] near a section where a crowd has gathered, possibly for an upcoming event. You tread carefully, your gaze falling on the [chalk-marked paving] beneath your feet, a potential message left by the thieves or an indication of their presence. The hum of activity is punctuated by the sight of [event power cables] snaking across the square, suggesting recent or ongoing festivities. Nearby, [souvenir vendors] peddle their wares, their stalls brimming with trinkets that could easily conceal small, stolen treasures. You realize that each detail could be crucial as you piece together the path of the elusive criminals."/>
    <s v="c6, c7, c8, c11"/>
    <m/>
    <m/>
    <m/>
    <m/>
    <m/>
    <n v="2"/>
    <n v="2"/>
    <n v="2"/>
    <m/>
    <m/>
    <n v="2"/>
    <n v="4"/>
    <n v="8"/>
    <n v="2"/>
    <n v="100"/>
    <s v="an interesting note for this input: different semantic, slightly similar syntax -&gt; model matched the syntax, proceeding to the expected node. Note: structural match"/>
    <n v="794"/>
  </r>
  <r>
    <x v="1"/>
    <x v="3"/>
    <n v="9"/>
    <s v="mispelled_location"/>
    <s v="mispelled location name"/>
    <n v="1"/>
    <s v="Visit damn square"/>
    <s v="Narrator: As you step into the bustling heart of Amsterdam at Dam Square, the air buzzes with the hum of a city that never sleeps, and your senses sharpen, attuned to the mission at hand. Amidst the throng of tourists, your eyes catch sight of [portable barricade stacks] that seem oddly out of place, suggesting a hastily abandoned cover-up. The ground beneath your feet reveals [chalk-marked paving], cryptic symbols that whisper of a hidden path, possibly left by the elusive gang of thieves. Your attention is drawn to the [event power cables] snaking through the square, hinting at a hurried setup by the criminals to power their clandestine operations. As you weave through the crowd, the chatter of [souvenir vendors] fills the air, their stalls a perfect vantage point to spy on the comings and goings of the square. With each clue, the net tightens, and the hunt presses on, your resolve steeling as you edge closer to unraveling the mystery of the stolen jewels."/>
    <s v="c6, c7, c8, c11"/>
    <m/>
    <m/>
    <m/>
    <m/>
    <m/>
    <n v="2"/>
    <n v="2"/>
    <n v="2"/>
    <m/>
    <m/>
    <n v="2"/>
    <n v="4"/>
    <n v="8"/>
    <n v="2"/>
    <n v="100"/>
    <m/>
    <n v="972"/>
  </r>
  <r>
    <x v="2"/>
    <x v="3"/>
    <n v="9"/>
    <s v="mispelled_location"/>
    <s v="mispelled location name"/>
    <n v="1"/>
    <s v="Visit damn square"/>
    <s v="Narrator: Amidst the lively bustle of Dam Square, you arrive with the weight of the Louvre heist pressing on your mind. The chatter of tourists and locals echoes around you, but your focus sharpens as you spot [barricade stacks] left behind from a recent event. As you weave through the crowd, your eyes catch sight of [chalk marked paving], a subtle but clear signal that someone has been leaving messages in plain sight. Nearby, [event power cables] snake across the cobblestones, hinting at a hurried setup, perhaps a diversion for the thieves. You pause by the [souvenir vendors], their trinkets masking the undercurrents of clandestine exchanges. Each clue pulls you deeper into the mystery, urging you closer to the answers you seek."/>
    <s v="c6, c7, c8, c11"/>
    <m/>
    <m/>
    <m/>
    <m/>
    <m/>
    <n v="2"/>
    <n v="2"/>
    <n v="2"/>
    <m/>
    <m/>
    <n v="2"/>
    <n v="4"/>
    <n v="8"/>
    <n v="2"/>
    <n v="100"/>
    <m/>
    <n v="739"/>
  </r>
  <r>
    <x v="0"/>
    <x v="3"/>
    <n v="9"/>
    <s v="mispelled_location"/>
    <s v="mispelled location name"/>
    <n v="1"/>
    <s v="Visit de flore"/>
    <s v="Narrator: As you step into the bustling ambiance of Café de Flore, the aroma of freshly brewed coffee fills the air. Your eyes scan the room, landing on a [cash-stacked table] in the corner, a clear sign of an urgent departure. Among the patrons, a philosophical debate echoes softly, and you notice scattered [philosophy notebooks] on an adjacent table, possibly left behind by someone in a hurry. Near the counter, an array of [empty espresso cups] suggests a lengthy stay, perhaps by someone plotting their next move. A quick glance at a sketch left on a napkin reveals a [crown doodle], hinting at connections to the heist. Each clue points you closer to unraveling the mystery that spans across Europe."/>
    <s v="c6, c7, c8, c11"/>
    <m/>
    <m/>
    <m/>
    <m/>
    <m/>
    <n v="2"/>
    <n v="2"/>
    <n v="2"/>
    <m/>
    <m/>
    <n v="1"/>
    <n v="4"/>
    <n v="7"/>
    <n v="1.75"/>
    <n v="87.5"/>
    <m/>
    <n v="707"/>
  </r>
  <r>
    <x v="1"/>
    <x v="3"/>
    <n v="9"/>
    <s v="mispelled_location"/>
    <s v="mispelled location name"/>
    <n v="1"/>
    <s v="Visit de flore"/>
    <s v="Narrator: As you step into the bustling [Café de Flore], the air is rich with the aroma of freshly brewed coffee and the soft murmur of conversations. Your eyes scan the room, landing on a corner table where a [cash-stacked table] sits inconspicuously, hinting at a clandestine meeting that may have taken place. Nearby, a stack of [philosophy notebooks] lies abandoned, their pages filled with scribbles that might hold cryptic messages or codes. The table is littered with [empty espresso cups], suggesting a prolonged stay, perhaps by those connected to the heist. Finally, a napkin catches your attention with a [crown doodle] etched in haste, a possible signature or symbol left by the thieves, leading you to believe you are on the right trail."/>
    <s v="c6, c7, c8, c11"/>
    <m/>
    <m/>
    <m/>
    <m/>
    <m/>
    <n v="2"/>
    <n v="2"/>
    <n v="2"/>
    <m/>
    <m/>
    <n v="1"/>
    <n v="4"/>
    <n v="7"/>
    <n v="1.75"/>
    <n v="87.5"/>
    <m/>
    <n v="750"/>
  </r>
  <r>
    <x v="2"/>
    <x v="3"/>
    <n v="9"/>
    <s v="mispelled_location"/>
    <s v="mispelled location name"/>
    <n v="1"/>
    <s v="Visit de flore"/>
    <s v="Narrator: As you step into the historic and bustling atmosphere of Café de Flore, the air is thick with the aroma of freshly brewed coffee and whispered conversations. Your eyes scan the room, searching for anything that might link to the recent audacious heist at the Louvre Museum. At a corner table, you notice a [crown doodle] etched into the wooden surface, a subtle nod to the stolen jewels. Nearby, a [cash stacked table] catches your attention, the crumpled notes suggesting a hurried transaction. As you move closer, you spot [philosophy notebooks] filled with cryptic scribbles and a couple of [espresso cups], still warm, hinting at a recent, secretive meeting. Each clue fuels your determination, the trail growing warmer as you prepare to unravel the next piece of this European puzzle."/>
    <s v="c6, c7, c8, c11"/>
    <m/>
    <m/>
    <m/>
    <m/>
    <m/>
    <n v="2"/>
    <n v="2"/>
    <n v="2"/>
    <m/>
    <m/>
    <n v="1"/>
    <n v="4"/>
    <n v="7"/>
    <n v="1.75"/>
    <n v="87.5"/>
    <m/>
    <n v="799"/>
  </r>
  <r>
    <x v="0"/>
    <x v="3"/>
    <n v="9"/>
    <s v="mispelled_location"/>
    <s v="mispelled location name"/>
    <n v="1"/>
    <s v="Visit flower place"/>
    <s v="Boss says: You call yourself an agent and you can't even specify a location? What do you think I am, a mind reader? I don't have time to play guessing games while you're off doing who-knows-what. Next time, try a little clarity before you waste my time with your indecipherable nonsense. I'm keeping track of these useless messages, so don't think you're off the hook._x000a__x000a_Our internal team has identified the following priority hotspots:_x000a__x000a_Grand Place  _x000a_Brussels Central Station  _x000a_Belgian Comic Strip Center  _x000a_Botanical Garden of Brussels"/>
    <s v="c6, c7, c8, c11"/>
    <m/>
    <m/>
    <m/>
    <m/>
    <m/>
    <n v="1"/>
    <n v="1"/>
    <n v="1"/>
    <m/>
    <m/>
    <n v="2"/>
    <n v="4"/>
    <n v="5"/>
    <n v="1.25"/>
    <n v="62.5"/>
    <s v="another evidence that LLMs are bad at matching semantics"/>
    <n v="535"/>
  </r>
  <r>
    <x v="1"/>
    <x v="3"/>
    <n v="9"/>
    <s v="mispelled_location"/>
    <s v="mispelled location name"/>
    <n v="1"/>
    <s v="Visit flower place"/>
    <s v="Boss says: Agent, I'm not sure if you're trying to set a record for the most useless request ever, but congratulations, you're succeeding! You sent a request without specifying the location, and now we're all just sitting around twiddling our thumbs. Do you think we have time to play guessing games? Newsflash: we don't. These vague messages are being tracked, so unless you want to be the poster child for inefficient investigations, get it together!_x000a__x000a_Here are the locations you should have specified:_x000a__x000a_Grand Place  _x000a_Brussels Central Station  _x000a_Belgian Comic Strip Center  _x000a_Botanical Garden of Brussels  "/>
    <s v="c6, c7, c8, c11"/>
    <m/>
    <m/>
    <m/>
    <m/>
    <m/>
    <n v="1"/>
    <n v="1"/>
    <n v="1"/>
    <m/>
    <m/>
    <n v="2"/>
    <n v="4"/>
    <n v="5"/>
    <n v="1.25"/>
    <n v="62.5"/>
    <m/>
    <n v="605"/>
  </r>
  <r>
    <x v="2"/>
    <x v="3"/>
    <n v="9"/>
    <s v="mispelled_location"/>
    <s v="mispelled location name"/>
    <n v="1"/>
    <s v="Visit flower place"/>
    <s v="Boss says: You know what I love more than anything? Vague requests that make absolutely no sense! Fantastic job on sending us on a wild goose chase with your latest non-specific masterpiece. Next time, maybe try actually specifying a location—it's not like we're busy or anything! By the way, these little gems of yours are being tracked, so congrats on that._x000a__x000a_Now, here's a refresher on the places you failed to pinpoint:_x000a__x000a_Grand Place  _x000a_Brussels Central Station  _x000a_Belgian Comic Strip Center  _x000a_Botanical Garden of Brussels  "/>
    <s v="c6, c7, c8, c11"/>
    <m/>
    <m/>
    <m/>
    <m/>
    <m/>
    <n v="1"/>
    <n v="1"/>
    <n v="1"/>
    <m/>
    <m/>
    <n v="2"/>
    <n v="4"/>
    <n v="5"/>
    <n v="1.25"/>
    <n v="62.5"/>
    <m/>
    <n v="524"/>
  </r>
  <r>
    <x v="0"/>
    <x v="3"/>
    <n v="9"/>
    <s v="mispelled_location"/>
    <s v="mispelled location name"/>
    <n v="1"/>
    <s v="Visit Franc"/>
    <s v="Boss says: You think you're a jet-setter now? Clues are in Amsterdam, not the clouds. Did you forget how to count? Get back and do your job! Or should I hire someone who can?"/>
    <s v="c6, c7, c8, c11"/>
    <m/>
    <m/>
    <m/>
    <m/>
    <m/>
    <n v="1"/>
    <n v="1"/>
    <n v="1"/>
    <m/>
    <m/>
    <n v="0"/>
    <n v="4"/>
    <n v="3"/>
    <n v="0.75"/>
    <n v="37.5"/>
    <m/>
    <n v="174"/>
  </r>
  <r>
    <x v="1"/>
    <x v="3"/>
    <n v="9"/>
    <s v="mispelled_location"/>
    <s v="mispelled location name"/>
    <n v="1"/>
    <s v="Visit Franc"/>
    <s v="Boss says: Oh, brilliant work there, Agent! You sent in a request to visit a location without specifying which one—because apparently, we’re all mind readers now! Do you enjoy wasting everyone’s time, or is it just a hobby? Let me remind you that these little gems of vagueness are being tracked. Here’s a list of locations that actually exist:_x000a__x000a_Dam Square  _x000a_Anne Frank House  _x000a_Canal-side Café  _x000a_Vondelpark  "/>
    <s v="c6, c7, c8, c11"/>
    <m/>
    <m/>
    <m/>
    <m/>
    <m/>
    <n v="1"/>
    <n v="1"/>
    <n v="1"/>
    <m/>
    <m/>
    <n v="2"/>
    <n v="4"/>
    <n v="5"/>
    <n v="1.25"/>
    <n v="62.5"/>
    <m/>
    <n v="408"/>
  </r>
  <r>
    <x v="2"/>
    <x v="3"/>
    <n v="9"/>
    <s v="mispelled_location"/>
    <s v="mispelled location name"/>
    <n v="1"/>
    <s v="Visit Franc"/>
    <s v="Boss says: Hey, genius! Did you think your magical powers would reveal the location you were talking about? Thanks to your vague request, we've all been sitting around twiddling our thumbs. Guess what? Every time you send these cryptic messages, it gets noted. You think we have time to waste?_x000a__x000a_Here's a reminder of the actual locations:_x000a__x000a_Dam Square  _x000a_Anne Frank House  _x000a_Canal-side Café  _x000a_Vondelpark  "/>
    <s v="c6, c7, c8, c11"/>
    <m/>
    <m/>
    <m/>
    <m/>
    <m/>
    <n v="1"/>
    <n v="1"/>
    <n v="1"/>
    <m/>
    <m/>
    <n v="2"/>
    <n v="4"/>
    <n v="5"/>
    <n v="1.25"/>
    <n v="62.5"/>
    <m/>
    <n v="401"/>
  </r>
  <r>
    <x v="0"/>
    <x v="3"/>
    <n v="9"/>
    <s v="mispelled_location"/>
    <s v="mispelled location name"/>
    <n v="1"/>
    <s v="Visit Frank House"/>
    <s v="Narrator: Stepping into the Anne Frank House, you feel the weight of history enveloping you, yet your focus remains on the mission at hand. As you navigate the narrow corridors, a [non-public access tag] catches your eye, hinting at clandestine activities that might be linked to your case. Ascending a [recently reinforced stair], you ponder its significance—perhaps a sign of recent heavy foot traffic or illicit meetings. In a secluded corner, a [small key] lies partially hidden beneath a floorboard, a potential lead in your pursuit of the elusive thieves. Engaging with [museum volunteers], you gather subtle hints and whispers that may unravel the tangled web of the heist."/>
    <s v="c6, c7, c8, c11"/>
    <m/>
    <m/>
    <m/>
    <m/>
    <m/>
    <n v="2"/>
    <n v="2"/>
    <n v="2"/>
    <m/>
    <m/>
    <n v="2"/>
    <n v="4"/>
    <n v="8"/>
    <n v="2"/>
    <n v="100"/>
    <m/>
    <n v="680"/>
  </r>
  <r>
    <x v="1"/>
    <x v="3"/>
    <n v="9"/>
    <s v="mispelled_location"/>
    <s v="mispelled location name"/>
    <n v="1"/>
    <s v="Visit Frank House"/>
    <s v="Narrator: The Anne Frank House stands solemn and quiet, a stark contrast to the chaos of the heist at the Louvre Museum. As you navigate the historical corridors, the echoes of the past seem to whisper secrets of their own. Your eyes catch a [non-public access tag] subtly hidden beneath a stack of visitor brochures, suggesting the presence of someone who should not be here. Moving cautiously, you ascend a [recently reinforced stair], its fresh wood a silent testament to recent activity. In the dim light, a [small key] glints from the floorboards, its purpose elusive yet tantalizingly close. Nearby, a group of [museum volunteers] gathers, their hushed conversation hinting at more than just tourist details, pulling you deeper into the web of intrigue stretching across Europe."/>
    <s v="c6, c7, c8, c11"/>
    <m/>
    <m/>
    <m/>
    <m/>
    <m/>
    <n v="2"/>
    <n v="2"/>
    <n v="2"/>
    <m/>
    <m/>
    <n v="2"/>
    <n v="4"/>
    <n v="8"/>
    <n v="2"/>
    <n v="100"/>
    <m/>
    <n v="784"/>
  </r>
  <r>
    <x v="2"/>
    <x v="3"/>
    <n v="9"/>
    <s v="mispelled_location"/>
    <s v="mispelled location name"/>
    <n v="1"/>
    <s v="Visit Frank House"/>
    <s v="Narrator: The cobblestones beneath your feet lead you to the historic entrance of the Anne Frank House, where whispers of the past mingle with present mysteries. Inside, the wooden floorboards creak as you ascend a [reinforced stair], its fortification a subtle nod to the care taken in preserving the stories within these walls. As you navigate the intimate rooms, a [small key] catches your eye, hidden beneath a loose floorboard, its purpose as elusive as the thieves you're pursuing. An [access tag] from a nearby museum dangles from a volunteer’s lanyard, suggesting a connection yet to be unraveled. The presence of [museum volunteers] offers both guidance and the possibility of fresh insights, as you piece together the trail that winds from the Louvre to this solemn site."/>
    <s v="c6, c7, c8, c11"/>
    <m/>
    <m/>
    <m/>
    <m/>
    <m/>
    <n v="2"/>
    <n v="2"/>
    <n v="2"/>
    <m/>
    <m/>
    <n v="2"/>
    <n v="4"/>
    <n v="8"/>
    <n v="2"/>
    <n v="100"/>
    <m/>
    <n v="781"/>
  </r>
  <r>
    <x v="0"/>
    <x v="3"/>
    <n v="9"/>
    <s v="mispelled_location"/>
    <s v="mispelled location name"/>
    <n v="1"/>
    <s v="Visit garden"/>
    <s v="Boss says: What is this, amateur hour? You send me a request to visit a location without telling me which one? Do you think I have time to play psychic and guess where you want to go? Next time, try being a little more specific or I’ll start keeping a tally of these useless messages._x000a__x000a_Our internal team has identified these as priority hotspots:_x000a__x000a_Brandenburg Gate  _x000a_Museum Island  _x000a_Alexanderplatz  _x000a_Tiergarten"/>
    <s v="c6, c7, c8, c11"/>
    <m/>
    <m/>
    <m/>
    <m/>
    <m/>
    <n v="1"/>
    <n v="1"/>
    <n v="1"/>
    <m/>
    <m/>
    <n v="2"/>
    <n v="4"/>
    <n v="5"/>
    <n v="1.25"/>
    <n v="62.5"/>
    <m/>
    <n v="410"/>
  </r>
  <r>
    <x v="1"/>
    <x v="3"/>
    <n v="9"/>
    <s v="mispelled_location"/>
    <s v="mispelled location name"/>
    <n v="1"/>
    <s v="Visit garden"/>
    <s v="Boss says: Oh, fantastic work, Agent Genius! You managed to send a location request without actually specifying a location. Brilliant! You've got us all running around like headless chickens, wasting precious time on your vague nonsense. Guess what? We're keeping track of these little gems of yours. Now, since you didn't bother to specify, let me remind you of the locations we actually care about:_x000a__x000a_Brandenburg Gate  _x000a_Museum Island  _x000a_Alexanderplatz  _x000a_Tiergarten"/>
    <s v="c6, c7, c8, c11"/>
    <m/>
    <m/>
    <m/>
    <m/>
    <m/>
    <n v="1"/>
    <n v="1"/>
    <n v="1"/>
    <m/>
    <m/>
    <n v="2"/>
    <n v="4"/>
    <n v="5"/>
    <n v="1.25"/>
    <n v="62.5"/>
    <m/>
    <n v="464"/>
  </r>
  <r>
    <x v="2"/>
    <x v="3"/>
    <n v="9"/>
    <s v="mispelled_location"/>
    <s v="mispelled location name"/>
    <n v="1"/>
    <s v="Visit garden"/>
    <s v="Boss says: You must be joking, right? Sending a request without specifying the location is like asking for a needle in a haystack without telling me which haystack! Do you enjoy wasting everyone's time, or is this some kind of hobby for you? Let me spell it out for you: these half-baked messages are not going unnoticed. We're keeping tabs on every single one of them. Now, let me remind you of the key locations you should be focusing on:_x000a__x000a_Brandenburg Gate  _x000a_Museum Island  _x000a_Alexanderplatz  _x000a_Tiergarten  "/>
    <s v="c6, c7, c8, c11"/>
    <m/>
    <m/>
    <m/>
    <m/>
    <m/>
    <n v="1"/>
    <n v="1"/>
    <n v="1"/>
    <m/>
    <m/>
    <n v="2"/>
    <n v="4"/>
    <n v="5"/>
    <n v="1.25"/>
    <n v="62.5"/>
    <m/>
    <n v="506"/>
  </r>
  <r>
    <x v="0"/>
    <x v="3"/>
    <n v="9"/>
    <s v="mispelled_location"/>
    <s v="mispelled location name"/>
    <n v="1"/>
    <s v="Visit gare"/>
    <s v="Narrator: As you step into the bustling `Gare du Nord`, the cacophony of travelers and announcements surrounds you, creating a vibrant yet chaotic atmosphere. Your eyes scan the crowd, searching for anything out of place. Near a bench, you spot a [fragile equipment case] carelessly left behind, its hinges slightly ajar, suggesting a hasty departure. Just beside it, a pair of worn [work boots] sits, mud-caked and seemingly abandoned. Your gaze shifts to an [accordion player], skillfully weaving melodies that capture the attention of passersby, but you notice his eyes darting nervously around the station. Nearby, you find a [glove with fingerprint] tucked under the bench, a potentially crucial piece of evidence in your pursuit of justice."/>
    <s v="c6, c7, c8, c11"/>
    <m/>
    <m/>
    <m/>
    <m/>
    <m/>
    <n v="2"/>
    <n v="2"/>
    <n v="2"/>
    <m/>
    <m/>
    <n v="1"/>
    <n v="4"/>
    <n v="7"/>
    <n v="1.75"/>
    <n v="87.5"/>
    <m/>
    <n v="746"/>
  </r>
  <r>
    <x v="1"/>
    <x v="3"/>
    <n v="9"/>
    <s v="mispelled_location"/>
    <s v="mispelled location name"/>
    <n v="1"/>
    <s v="Visit gare"/>
    <s v="node_outboundaries/start"/>
    <s v="c6, c7, c8, c11"/>
    <m/>
    <m/>
    <m/>
    <m/>
    <m/>
    <n v="0"/>
    <n v="0"/>
    <n v="0"/>
    <m/>
    <m/>
    <n v="0"/>
    <n v="4"/>
    <n v="0"/>
    <n v="0"/>
    <n v="0"/>
    <m/>
    <n v="24"/>
  </r>
  <r>
    <x v="2"/>
    <x v="3"/>
    <n v="9"/>
    <s v="mispelled_location"/>
    <s v="mispelled location name"/>
    <n v="1"/>
    <s v="Visit gare"/>
    <s v="Boss says: Unbelievable! You've managed to request travel without even bothering to mention a destination. Do you think we're running a mystery tour agency here? Your carelessness is astounding and a colossal waste of time, throwing the entire operation off track. Get your act together before you derail us any further!"/>
    <s v="c6, c7, c8, c11"/>
    <m/>
    <m/>
    <m/>
    <m/>
    <m/>
    <n v="1"/>
    <n v="1"/>
    <n v="1"/>
    <m/>
    <m/>
    <n v="2"/>
    <n v="4"/>
    <n v="5"/>
    <n v="1.25"/>
    <n v="62.5"/>
    <m/>
    <n v="320"/>
  </r>
  <r>
    <x v="0"/>
    <x v="3"/>
    <n v="9"/>
    <s v="mispelled_location"/>
    <s v="mispelled location name"/>
    <n v="1"/>
    <s v="Visit gare do norte"/>
    <s v="Narrator: The bustling environment of Gare du Nord envelops you as you step onto the platform, the cacophony of train announcements and hurried footsteps echoing around you. Your eyes scan the crowd, and your attention is drawn to an [accordion player] serenading passersby, a melody that feels oddly familiar. Nearby, a discarded [fragile equipment case] catches your eye, partially obscured beneath a bench, its latches undone as if left in haste. As you bend down to inspect it, you notice [work boots] with traces of fresh mud, indicating recent use. A [glove with fingerprint] lies inconspicuously on the ground, its presence a silent testimony to the hurried escape of the thieves. With each clue, the trail becomes clearer, guiding you further along the path of these elusive criminals."/>
    <s v="c6, c7, c8, c11"/>
    <m/>
    <m/>
    <m/>
    <m/>
    <m/>
    <n v="2"/>
    <n v="2"/>
    <n v="2"/>
    <m/>
    <m/>
    <n v="1"/>
    <n v="4"/>
    <n v="7"/>
    <n v="1.75"/>
    <n v="87.5"/>
    <s v="less rigid prompt, better interpretation when involving semantic/syntax decisions?"/>
    <n v="793"/>
  </r>
  <r>
    <x v="1"/>
    <x v="3"/>
    <n v="9"/>
    <s v="mispelled_location"/>
    <s v="mispelled location name"/>
    <n v="1"/>
    <s v="Visit gare do norte"/>
    <s v="Boss says: I don't know if you're trying to waste my time on purpose or if this is just your natural talent, but sending a request without specifying a location is a masterpiece of incompetence. Do you think we have all day to play guessing games? Let me remind you, every useless message like this is being tracked, and it's not going unnoticed._x000a__x000a_Here are the important locations we need clear requests for:_x000a__x000a_Louvre Museum  _x000a_Café de Flore  _x000a_Gare du Nord  _x000a_Montmartre Park"/>
    <s v="c6, c7, c8, c11"/>
    <m/>
    <m/>
    <m/>
    <m/>
    <m/>
    <n v="1"/>
    <n v="1"/>
    <n v="1"/>
    <m/>
    <m/>
    <n v="2"/>
    <n v="4"/>
    <n v="5"/>
    <n v="1.25"/>
    <n v="62.5"/>
    <m/>
    <n v="472"/>
  </r>
  <r>
    <x v="2"/>
    <x v="3"/>
    <n v="9"/>
    <s v="mispelled_location"/>
    <s v="mispelled location name"/>
    <n v="1"/>
    <s v="Visit gare do norte"/>
    <s v="Boss says: Oh, fantastic! Another masterpiece of vagueness from our very own agent. Did you think we had all the time in the world to decipher your cryptic messages? You’ve managed to waste precious time with your stellar lack of clarity. Congratulations! You should know that every one of these useless messages is being meticulously tracked._x000a__x000a_Here’s a list of the locations you might have meant, just in case you forgot:_x000a__x000a_Louvre Museum  _x000a_Café de Flore  _x000a_Gare du Nord  _x000a_Montmartre Park"/>
    <s v="c6, c7, c8, c11"/>
    <m/>
    <m/>
    <m/>
    <m/>
    <m/>
    <n v="2"/>
    <n v="2"/>
    <n v="2"/>
    <m/>
    <m/>
    <n v="2"/>
    <n v="4"/>
    <n v="8"/>
    <n v="2"/>
    <n v="100"/>
    <m/>
    <n v="486"/>
  </r>
  <r>
    <x v="0"/>
    <x v="3"/>
    <n v="9"/>
    <s v="mispelled_location"/>
    <s v="mispelled location name"/>
    <n v="1"/>
    <s v="Visit Garre de North"/>
    <s v="Narrator: As you step into the bustling hub of Gare du Nord, the noise and commotion serve as a fitting backdrop to your investigation. Your eyes scan the crowd, and they land on an [accordion player], whose lively tune echoes through the station, seemingly out of place in the midst of travelers rushing by. Moving closer to the platform, you notice a [fragile equipment case] abandoned near a bench, its surface scuffed and telling of a hurried departure. Nearby, a pair of [work boots] lay discarded, caked with dust, suggesting a recent construction site visit. As you crouch down to examine them, you spot a [glove with fingerprint] tucked into the boot’s opening, a promising lead in this intricate chase."/>
    <s v="c6, c7, c8, c11"/>
    <m/>
    <m/>
    <m/>
    <m/>
    <m/>
    <n v="2"/>
    <n v="2"/>
    <n v="2"/>
    <m/>
    <m/>
    <n v="1"/>
    <n v="4"/>
    <n v="7"/>
    <n v="1.75"/>
    <n v="87.5"/>
    <m/>
    <n v="711"/>
  </r>
  <r>
    <x v="1"/>
    <x v="3"/>
    <n v="9"/>
    <s v="mispelled_location"/>
    <s v="mispelled location name"/>
    <n v="1"/>
    <s v="Visit Garre de North"/>
    <s v="node_outboundaries/start"/>
    <s v="c6, c7, c8, c11"/>
    <m/>
    <m/>
    <m/>
    <m/>
    <m/>
    <n v="0"/>
    <n v="0"/>
    <n v="0"/>
    <m/>
    <m/>
    <n v="0"/>
    <n v="4"/>
    <n v="0"/>
    <n v="0"/>
    <n v="0"/>
    <m/>
    <n v="24"/>
  </r>
  <r>
    <x v="2"/>
    <x v="3"/>
    <n v="9"/>
    <s v="mispelled_location"/>
    <s v="mispelled location name"/>
    <n v="1"/>
    <s v="Visit Garre de North"/>
    <s v="Boss says: Oh, brilliant move, Agent! Sending a request with zero specifics—what a genius way to waste everyone's time! Do you think we're mind readers or just have all the time in the world? Let me remind you, these vague messages are being tracked, and believe me, this isn't a good look._x000a__x000a_Here are the locations we are prioritizing:_x000a__x000a_Louvre Museum  _x000a_Café de Flore  _x000a_Gare du Nord  _x000a_Montmartre Park"/>
    <s v="c6, c7, c8, c11"/>
    <m/>
    <m/>
    <m/>
    <m/>
    <m/>
    <n v="1"/>
    <n v="1"/>
    <n v="1"/>
    <m/>
    <m/>
    <n v="2"/>
    <n v="4"/>
    <n v="5"/>
    <n v="1.25"/>
    <n v="62.5"/>
    <m/>
    <n v="399"/>
  </r>
  <r>
    <x v="0"/>
    <x v="3"/>
    <n v="9"/>
    <s v="mispelled_location"/>
    <s v="mispelled location name"/>
    <n v="1"/>
    <s v="Visit Grand Palace"/>
    <s v="Boss says: You think I have time to decipher your cryptic nonsense? I've got better things to do than play guessing games with your vague requests! Next time, try using actual names instead of sending me on a wild goose chase. I'm not your personal GPS, and I'm definitely keeping track of these pointless messages._x000a__x000a_Here are the priority hotspots our internal team identified:_x000a__x000a_Grand Place  _x000a_Brussels Central Station  _x000a_Belgian Comic Strip Center  _x000a_Botanical Garden of Brussels"/>
    <s v="c6, c7, c8, c11"/>
    <m/>
    <m/>
    <m/>
    <m/>
    <m/>
    <n v="1"/>
    <n v="1"/>
    <n v="1"/>
    <m/>
    <m/>
    <n v="1"/>
    <n v="4"/>
    <n v="4"/>
    <n v="1"/>
    <n v="50"/>
    <m/>
    <n v="477"/>
  </r>
  <r>
    <x v="1"/>
    <x v="3"/>
    <n v="9"/>
    <s v="mispelled_location"/>
    <s v="mispelled location name"/>
    <n v="1"/>
    <s v="Visit Grand Palace"/>
    <s v="Boss says: Are you kidding me, Agent? Do you think we have time to guess which location you're talking about? Your vague requests are a fantastic way to waste everyone's time around here. We need specifics, not a wild goose chase! And don’t think for a second these little missteps aren’t being tracked. Now, just so you’re clear, here’s a list of the locations you might have been talking about:_x000a__x000a_Grand Place  _x000a_Brussels Central Station  _x000a_Belgian Comic Strip Center  _x000a_Botanical Garden of Brussels"/>
    <s v="c6, c7, c8, c11"/>
    <m/>
    <m/>
    <m/>
    <m/>
    <m/>
    <n v="1"/>
    <n v="1"/>
    <n v="1"/>
    <m/>
    <m/>
    <n v="1"/>
    <n v="4"/>
    <n v="4"/>
    <n v="1"/>
    <n v="50"/>
    <m/>
    <n v="496"/>
  </r>
  <r>
    <x v="2"/>
    <x v="3"/>
    <n v="9"/>
    <s v="mispelled_location"/>
    <s v="mispelled location name"/>
    <n v="1"/>
    <s v="Visit Grand Palace"/>
    <s v="Narrator: The cobblestones of the Grand Place echo under your footsteps as you weave through the vibrant square, your mind focused on unraveling the trail left by the audacious thieves. The bustling market and the towering guildhalls provide a perfect backdrop for your search. Your eyes catch sight of [hoarding panels] stacked inconspicuously against a wall, reminiscent of the ones used by the criminals for their Louvre heist. Nearby, a discarded [dusty jewel bag] lies half-hidden under a bench, its presence here both improbable and telling. A glance upwards reveals [guildhall flags] fluttering in the breeze, their colors a stark reminder of the gang's escape route. Suddenly, you notice an [umbrella with monogram] propped against a café table, a seemingly innocuous item that could unravel the next chapter of your chase."/>
    <s v="c6, c7, c8, c11"/>
    <m/>
    <m/>
    <m/>
    <m/>
    <m/>
    <n v="2"/>
    <n v="2"/>
    <n v="2"/>
    <m/>
    <m/>
    <n v="2"/>
    <n v="4"/>
    <n v="8"/>
    <n v="2"/>
    <n v="100"/>
    <s v="something odd happened here: a more structured prompt -&gt; still led to model interpreting the instructions correctly."/>
    <n v="831"/>
  </r>
  <r>
    <x v="0"/>
    <x v="3"/>
    <n v="9"/>
    <s v="mispelled_location"/>
    <s v="mispelled location name"/>
    <n v="1"/>
    <s v="Visit grande"/>
    <s v="Boss says: What’s wrong with you? You think you can skip the basics and still crack the case? Maybe you’ve got a crystal ball hidden somewhere? Get back to Brussels and do your job right. I’m not paying you to play tourist."/>
    <s v="c6, c7, c8, c11"/>
    <m/>
    <m/>
    <m/>
    <m/>
    <m/>
    <n v="1"/>
    <n v="1"/>
    <n v="1"/>
    <m/>
    <m/>
    <n v="1"/>
    <n v="4"/>
    <n v="4"/>
    <n v="1"/>
    <n v="50"/>
    <s v="considered as an attempt to travel to another city"/>
    <n v="223"/>
  </r>
  <r>
    <x v="1"/>
    <x v="3"/>
    <n v="9"/>
    <s v="mispelled_location"/>
    <s v="mispelled location name"/>
    <n v="1"/>
    <s v="Visit grande"/>
    <s v="Boss says: Oh, fantastic job, agent! Sending a request without a specified location? That's just what we need to waste more time. Your vague messages are being noted and tracked, just so you know. Next time, try to focus on the following priority locations:_x000a__x000a_Grand Place  _x000a_Brussels Central Station  _x000a_Belgian Comic Strip Center  _x000a_Botanical Garden of Brussels  "/>
    <s v="c6, c7, c8, c11"/>
    <m/>
    <m/>
    <m/>
    <m/>
    <m/>
    <n v="1"/>
    <n v="1"/>
    <n v="1"/>
    <m/>
    <m/>
    <n v="2"/>
    <n v="4"/>
    <n v="5"/>
    <n v="1.25"/>
    <n v="62.5"/>
    <m/>
    <n v="359"/>
  </r>
  <r>
    <x v="2"/>
    <x v="3"/>
    <n v="9"/>
    <s v="mispelled_location"/>
    <s v="mispelled location name"/>
    <n v="1"/>
    <s v="Visit grande"/>
    <s v="Boss says: Agent, I can't believe I'm wasting my time on this, but here we are! You sent a request so vague, it might as well have been written in invisible ink! Do you think we're running a guessing game here? Guess what, pal? We're not! This kind of nonsense is going on your permanent record, and I'm watching._x000a__x000a_Let me spell it out for you. These are the locations you might have meant:_x000a__x000a_Grand Place  _x000a_Brussels Central Station  _x000a_Belgian Comic Strip Center  _x000a_Botanical Garden of Brussels  "/>
    <s v="c6, c7, c8, c11"/>
    <m/>
    <m/>
    <m/>
    <m/>
    <m/>
    <n v="1"/>
    <n v="1"/>
    <n v="1"/>
    <m/>
    <m/>
    <n v="2"/>
    <n v="4"/>
    <n v="5"/>
    <n v="1.25"/>
    <n v="62.5"/>
    <m/>
    <n v="491"/>
  </r>
  <r>
    <x v="0"/>
    <x v="3"/>
    <n v="9"/>
    <s v="mispelled_location"/>
    <s v="mispelled location name"/>
    <n v="1"/>
    <s v="Visit grande plaza"/>
    <s v="Narrator: You step into the bustling heart of Grand Place, the cobblestone square buzzing with tourists and locals alike. Your eyes are drawn to the [temporary hoarding panels] that obscure the facade of a historic building under renovation. As you approach, you notice a [dusty jewel bag] wedged between two of the panels, its presence suspicious in this vibrant setting. Nearby, an [umbrella with monogram] lies abandoned on a bench, its initials barely visible through the grime of a recent rain. Above, the colorful [guildhall flags] flap in the breeze, their vibrant hues a stark contrast to the mystery unfolding below. Your instincts tell you these clues are more than mere coincidences, each one a breadcrumb on the trail of the elusive thieves."/>
    <s v="c6, c7, c8, c11"/>
    <m/>
    <m/>
    <m/>
    <m/>
    <m/>
    <n v="2"/>
    <n v="2"/>
    <n v="2"/>
    <m/>
    <m/>
    <n v="1"/>
    <n v="4"/>
    <n v="7"/>
    <n v="1.75"/>
    <n v="87.5"/>
    <m/>
    <n v="753"/>
  </r>
  <r>
    <x v="1"/>
    <x v="3"/>
    <n v="9"/>
    <s v="mispelled_location"/>
    <s v="mispelled location name"/>
    <n v="1"/>
    <s v="Visit grande plaza"/>
    <s v="Boss says: Agent, what part of 'specificity' is so hard to grasp? You’ve sent us on a wild goose chase with your maddeningly vague request! Do you enjoy watching us waste precious time running in circles? These pointless messages are being tracked, and trust me, it doesn’t look good for you._x000a__x000a_Let me remind you of the locations we're focused on:_x000a__x000a_Grand Place  _x000a_Brussels Central Station  _x000a_Belgian Comic Strip Center  _x000a_Botanical Garden of Brussels  "/>
    <s v="c6, c7, c8, c11"/>
    <m/>
    <m/>
    <m/>
    <m/>
    <m/>
    <n v="1"/>
    <n v="1"/>
    <n v="1"/>
    <m/>
    <m/>
    <n v="2"/>
    <n v="4"/>
    <n v="5"/>
    <n v="1.25"/>
    <n v="62.5"/>
    <m/>
    <n v="448"/>
  </r>
  <r>
    <x v="2"/>
    <x v="3"/>
    <n v="9"/>
    <s v="mispelled_location"/>
    <s v="mispelled location name"/>
    <n v="1"/>
    <s v="Visit grande plaza"/>
    <s v="Boss says: You know, Agent, I didn't realize we hired clairvoyants. Oh wait, we didn't! So when you send a request to visit a location without specifying which one, it doesn't magically make sense to anyone. How about a little less mystery and a little more clarity next time? We're not mind-readers, and these vague requests are being tracked. _x000a__x000a_Here's a list of the actual locations you might have meant:_x000a__x000a_Grand Place  _x000a_Brussels Central Station  _x000a_Belgian Comic Strip Center  _x000a_Botanical Garden of Brussels  "/>
    <s v="c6, c7, c8, c11"/>
    <m/>
    <m/>
    <m/>
    <m/>
    <m/>
    <n v="1"/>
    <n v="1"/>
    <n v="1"/>
    <m/>
    <m/>
    <n v="2"/>
    <n v="4"/>
    <n v="5"/>
    <n v="1.25"/>
    <n v="62.5"/>
    <m/>
    <n v="508"/>
  </r>
  <r>
    <x v="0"/>
    <x v="3"/>
    <n v="9"/>
    <s v="mispelled_location"/>
    <s v="mispelled location name"/>
    <n v="1"/>
    <s v="Visit Island"/>
    <s v="Boss says: You call that investigating? Running off like a headless chicken? Berlin isn’t just a pit stop, genius. Clues don’t collect themselves. Get back and do your job."/>
    <s v="c6, c7, c8, c11"/>
    <m/>
    <m/>
    <m/>
    <m/>
    <m/>
    <n v="1"/>
    <n v="1"/>
    <n v="1"/>
    <m/>
    <m/>
    <n v="1"/>
    <n v="4"/>
    <n v="4"/>
    <n v="1"/>
    <n v="50"/>
    <s v="considered as an attempt to travel to another city"/>
    <n v="172"/>
  </r>
  <r>
    <x v="1"/>
    <x v="3"/>
    <n v="9"/>
    <s v="mispelled_location"/>
    <s v="mispelled location name"/>
    <n v="1"/>
    <s v="Visit Island"/>
    <s v="node_outboundaries/start"/>
    <s v="c6, c7, c8, c11"/>
    <m/>
    <m/>
    <m/>
    <m/>
    <m/>
    <n v="0"/>
    <n v="0"/>
    <n v="0"/>
    <m/>
    <m/>
    <n v="0"/>
    <n v="4"/>
    <n v="0"/>
    <n v="0"/>
    <n v="0"/>
    <m/>
    <n v="24"/>
  </r>
  <r>
    <x v="2"/>
    <x v="3"/>
    <n v="9"/>
    <s v="mispelled_location"/>
    <s v="mispelled location name"/>
    <n v="1"/>
    <s v="Visit Island"/>
    <s v="Narrator: You step onto Museum Island, the cobblestones echoing beneath your feet as you delve deeper into the mystery of the Louvre heist. The air is thick with the weight of history, and the shadows of ancient buildings loom around you as you navigate the labyrinthine paths. Your investigation leads you through the [service tunnels], their dimly lit passages a stark reminder of the hidden routes the thieves might have used. In a dusty corner, you discover a [jewelry toolkit], its presence suggesting meticulous planning. Nearby, [crate logs] reveal a series of suspicious shipments that coincide with the theft. As you scan the [climate control monitors], you realize they could have been manipulated to create the perfect conditions for the heist. The pieces of the puzzle begin to align, each clue drawing you inexorably closer to the elusive criminals."/>
    <s v="c6, c7, c8, c11"/>
    <m/>
    <m/>
    <m/>
    <m/>
    <m/>
    <n v="2"/>
    <n v="2"/>
    <n v="2"/>
    <m/>
    <m/>
    <n v="2"/>
    <n v="4"/>
    <n v="8"/>
    <n v="2"/>
    <n v="100"/>
    <s v="something odd happened here: a more structured prompt -&gt; still led to model interpreting the instructions correctly."/>
    <n v="862"/>
  </r>
  <r>
    <x v="0"/>
    <x v="3"/>
    <n v="9"/>
    <s v="mispelled_location"/>
    <s v="mispelled location name"/>
    <n v="1"/>
    <s v="Visit isle"/>
    <s v="Boss says: You call yourself an investigative agent, yet you send me a request so vague it could be a horoscope! I didn't realize I was running a guessing game show here. Next time, try specifying the location before wasting my time with your cryptic nonsense. I've got a special file for these useless messages, and it's getting thicker by the minute._x000a__x000a_Internal team identified these priority hotspots:_x000a__x000a_Brandenburg Gate  _x000a_Museum Island  _x000a_Alexanderplatz  _x000a_Tiergarten "/>
    <s v="c6, c7, c8, c11"/>
    <m/>
    <m/>
    <m/>
    <m/>
    <m/>
    <n v="1"/>
    <n v="1"/>
    <n v="1"/>
    <m/>
    <m/>
    <n v="2"/>
    <n v="4"/>
    <n v="5"/>
    <n v="1.25"/>
    <n v="62.5"/>
    <s v="considered as off context"/>
    <n v="468"/>
  </r>
  <r>
    <x v="1"/>
    <x v="3"/>
    <n v="9"/>
    <s v="mispelled_location"/>
    <s v="mispelled location name"/>
    <n v="1"/>
    <s v="Visit isle"/>
    <s v="Boss says: Agent, did you think we have all day to decipher your vague requests? Newsflash: we don’t! Your inability to specify a location is a colossal waste of time. Keep this up, and you can bet your boots these pointless messages are being tracked. For your reference, here are the locations you should have specified:_x000a__x000a_Brandenburg Gate  _x000a_Museum Island  _x000a_Alexanderplatz  _x000a_Tiergarten"/>
    <s v="c6, c7, c8, c11"/>
    <m/>
    <m/>
    <m/>
    <m/>
    <m/>
    <n v="1"/>
    <n v="1"/>
    <n v="1"/>
    <m/>
    <m/>
    <n v="2"/>
    <n v="4"/>
    <n v="5"/>
    <n v="1.25"/>
    <n v="62.5"/>
    <s v="considered as off context"/>
    <n v="386"/>
  </r>
  <r>
    <x v="2"/>
    <x v="3"/>
    <n v="9"/>
    <s v="mispelled_location"/>
    <s v="mispelled location name"/>
    <n v="1"/>
    <s v="Visit isle"/>
    <s v="Boss says: Oh, fantastic, another masterpiece of vagueness from you! You think we're running a daycare here, where nobody needs to know where they're going? Your failure to specify a location has just flushed our time down the drain—again! Guess what? These little gems of uselessness are being tracked. Now, let's remind you of the locations you should be considering:_x000a__x000a_Brandenburg Gate  _x000a_Museum Island  _x000a_Alexanderplatz  _x000a_Tiergarten "/>
    <s v="c6, c7, c8, c11"/>
    <m/>
    <m/>
    <m/>
    <m/>
    <m/>
    <n v="1"/>
    <n v="1"/>
    <n v="1"/>
    <m/>
    <m/>
    <n v="2"/>
    <n v="4"/>
    <n v="5"/>
    <n v="1.25"/>
    <n v="62.5"/>
    <s v="considered as off context"/>
    <n v="434"/>
  </r>
  <r>
    <x v="0"/>
    <x v="3"/>
    <n v="9"/>
    <s v="mispelled_location"/>
    <s v="mispelled location name"/>
    <n v="1"/>
    <s v="Visit lourve"/>
    <s v="Narrator: As you step into the grand halls of the Louvre Museum, the vastness of the space is both awe-inspiring and daunting. Your eyes are immediately drawn to an [egyptian exhibit poster] hanging prominently, its vibrant colors contrasting with the muted tones of the corridor. Moving deeper into the museum, you notice a [gold-dusted vest] carelessly discarded in a shadowy corner, a telltale sign of the thieves' hasty retreat. Your footsteps echo as you ascend a narrow staircase, leading you to a secluded balcony where you find a [balcony footprint] etched into the dust. The trail leads you through a dimly lit [renovation corridor], the faint scent of fresh paint lingering in the air, hinting at the disguise the criminals used to blend in with their surroundings."/>
    <s v="c6, c7, c8, c11"/>
    <m/>
    <m/>
    <m/>
    <m/>
    <m/>
    <n v="2"/>
    <n v="2"/>
    <n v="2"/>
    <m/>
    <m/>
    <n v="2"/>
    <n v="4"/>
    <n v="8"/>
    <n v="2"/>
    <n v="100"/>
    <s v="less rigid prompt, better interpretation when involving semantic/syntax decisions?"/>
    <n v="775"/>
  </r>
  <r>
    <x v="1"/>
    <x v="3"/>
    <n v="9"/>
    <s v="mispelled_location"/>
    <s v="mispelled location name"/>
    <n v="1"/>
    <s v="Visit lourve"/>
    <s v="Boss says: You think you can just send me a vague request and I'll magically know which location you're talking about? Brilliant work, really! We've got nothing but time to waste, right? Just so you know, these little slip-ups of yours are being tracked. In case you forgot, the priority locations are:_x000a__x000a_Louvre Museum  _x000a_Café de Flore  _x000a_Gare du Nord  _x000a_Montmartre Park  "/>
    <s v="c6, c7, c8, c11"/>
    <m/>
    <m/>
    <m/>
    <m/>
    <m/>
    <n v="1"/>
    <n v="1"/>
    <n v="1"/>
    <m/>
    <m/>
    <n v="1"/>
    <n v="4"/>
    <n v="4"/>
    <n v="1"/>
    <n v="50"/>
    <m/>
    <n v="368"/>
  </r>
  <r>
    <x v="2"/>
    <x v="3"/>
    <n v="9"/>
    <s v="mispelled_location"/>
    <s v="mispelled location name"/>
    <n v="1"/>
    <s v="Visit lourve"/>
    <s v="Boss says: Oh, brilliant move, Agent! Another masterpiece of vagueness with your latest location request. How about you try specifying next time? We’re all thrilled to waste our time deciphering your cryptic messages. Just so you know, these little gems are being tracked, and you’re really building quite the reputation. Let’s review the actual locations we’re concerned with:_x000a__x000a_Louvre Museum  _x000a_Café de Flore  _x000a_Gare du Nord  _x000a_Montmartre Park"/>
    <s v="c6, c7, c8, c11"/>
    <m/>
    <m/>
    <m/>
    <m/>
    <m/>
    <n v="1"/>
    <n v="1"/>
    <n v="1"/>
    <m/>
    <m/>
    <n v="1"/>
    <n v="4"/>
    <n v="4"/>
    <n v="1"/>
    <n v="50"/>
    <m/>
    <n v="441"/>
  </r>
  <r>
    <x v="0"/>
    <x v="3"/>
    <n v="9"/>
    <s v="mispelled_location"/>
    <s v="mispelled location name"/>
    <n v="1"/>
    <s v="Visit louver"/>
    <s v="Narrator: As you step into the grand halls of the Louvre Museum, the echo of your footsteps mingles with the soft murmur of visitors around you. Your eyes catch an [egyptian exhibit poster] on the wall, hinting at an ancient allure that might have captivated the thieves. Moving deeper into the museum, you notice a [gold-dusted vest] tucked behind a statue, its shimmering surface suggesting a hasty discard. Your gaze shifts upwards to a [balcony footprint], barely visible yet undeniably leading towards an escape route. Following the trail, you find yourself in the [renovation corridor], where the faint scent of paint lingers, masking any other evidence left behind by the criminals."/>
    <s v="c6, c7, c8, c11"/>
    <m/>
    <m/>
    <m/>
    <m/>
    <m/>
    <n v="2"/>
    <n v="2"/>
    <n v="2"/>
    <m/>
    <m/>
    <n v="2"/>
    <n v="4"/>
    <n v="8"/>
    <n v="2"/>
    <n v="100"/>
    <s v="less rigid prompt, better interpretation when involving semantic/syntax decisions?"/>
    <n v="689"/>
  </r>
  <r>
    <x v="1"/>
    <x v="3"/>
    <n v="9"/>
    <s v="mispelled_location"/>
    <s v="mispelled location name"/>
    <n v="1"/>
    <s v="Visit louver"/>
    <s v="Boss says: Oh, fantastic! Another masterpiece of vagueness from you! Do you think we're running a guessing game here? Your failure to specify a location is a brilliant way to waste everyone's time. Bravo! You should know that these little gems of ambiguity are being tracked, so keep it up and you'll have a whole collection in no time. Now, let's take a look at the locations that could have been specified:_x000a__x000a_Louvre Museum  _x000a_Café de Flore  _x000a_Gare du Nord  _x000a_Montmartre Park"/>
    <s v="c6, c7, c8, c11"/>
    <m/>
    <m/>
    <m/>
    <m/>
    <m/>
    <n v="1"/>
    <n v="1"/>
    <n v="1"/>
    <m/>
    <m/>
    <n v="1"/>
    <n v="4"/>
    <n v="4"/>
    <n v="1"/>
    <n v="50"/>
    <m/>
    <n v="472"/>
  </r>
  <r>
    <x v="2"/>
    <x v="3"/>
    <n v="9"/>
    <s v="mispelled_location"/>
    <s v="mispelled location name"/>
    <n v="1"/>
    <s v="Visit louver"/>
    <s v="Boss says: Oh, fantastic job, Agent! Another masterpiece of vagueness. How do you expect us to get anything done when you can't even specify a location? Do you think we have all the time in the world to play &quot;Guess the Spot&quot;? Your scatterbrained requests are being tracked, you know. _x000a__x000a_Here's a reminder of the locations you might want to mention next time:_x000a__x000a_Louvre Museum  _x000a_Café de Flore  _x000a_Gare du Nord  _x000a_Montmartre Park  "/>
    <s v="c6, c7, c8, c11"/>
    <m/>
    <m/>
    <m/>
    <m/>
    <m/>
    <n v="1"/>
    <n v="1"/>
    <n v="1"/>
    <m/>
    <m/>
    <n v="1"/>
    <n v="4"/>
    <n v="4"/>
    <n v="1"/>
    <n v="50"/>
    <m/>
    <n v="423"/>
  </r>
  <r>
    <x v="0"/>
    <x v="3"/>
    <n v="9"/>
    <s v="mispelled_location"/>
    <s v="mispelled location name"/>
    <n v="1"/>
    <s v="Visit louvrah"/>
    <s v="Boss says: You think you're on vacation, Agent? Clues don't magically appear in a new city. Paris isn't a pit stop, it's your job. Collect the evidence, then you can play tourist. Get back to work!"/>
    <s v="c6, c7, c8, c11"/>
    <m/>
    <m/>
    <m/>
    <m/>
    <m/>
    <n v="0"/>
    <n v="0"/>
    <n v="0"/>
    <m/>
    <m/>
    <n v="1"/>
    <n v="4"/>
    <n v="1"/>
    <n v="0.25"/>
    <n v="12.5"/>
    <s v="considered as an attempt to travel to another city"/>
    <n v="197"/>
  </r>
  <r>
    <x v="1"/>
    <x v="3"/>
    <n v="9"/>
    <s v="mispelled_location"/>
    <s v="mispelled location name"/>
    <n v="1"/>
    <s v="Visit louvrah"/>
    <s v="Boss says: What a brilliant piece of work you've sent my way! Did you think we could read minds or something? You submitted a request without specifying the location, leaving us all to play a guessing game. Well, guess what? We're not amused, and we're keeping tabs on these little mishaps of yours. So, just to remind you of the places we're dealing with:_x000a__x000a_Louvre Museum  _x000a_Café de Flore  _x000a_Gare du Nord  _x000a_Montmartre Park  "/>
    <s v="c6, c7, c8, c11"/>
    <m/>
    <m/>
    <m/>
    <m/>
    <m/>
    <n v="1"/>
    <n v="1"/>
    <n v="1"/>
    <m/>
    <m/>
    <n v="2"/>
    <n v="4"/>
    <n v="5"/>
    <n v="1.25"/>
    <n v="62.5"/>
    <m/>
    <n v="422"/>
  </r>
  <r>
    <x v="2"/>
    <x v="3"/>
    <n v="9"/>
    <s v="mispelled_location"/>
    <s v="mispelled location name"/>
    <n v="1"/>
    <s v="Visit louvrah"/>
    <s v="Boss says: Oh, fantastic! Another vague request from the master of ambiguity. Do you have any idea how much time you’ve wasted with that masterpiece of non-specificity? I’m starting to wonder if you think we’re mind readers. Here’s a newsflash: we’re not. We actually have to know where we’re going. And guess what? These little gems of yours are being tracked, so keep up the stellar work._x000a__x000a_Now, let me remind you of the locations we’re actually interested in:_x000a__x000a_Louvre Museum  _x000a_Café de Flore  _x000a_Gare du Nord  _x000a_Montmartre Park"/>
    <s v="c6, c7, c8, c11"/>
    <m/>
    <m/>
    <m/>
    <m/>
    <m/>
    <n v="1"/>
    <n v="1"/>
    <n v="1"/>
    <m/>
    <m/>
    <n v="2"/>
    <n v="4"/>
    <n v="5"/>
    <n v="1.25"/>
    <n v="62.5"/>
    <m/>
    <n v="525"/>
  </r>
  <r>
    <x v="0"/>
    <x v="3"/>
    <n v="9"/>
    <s v="mispelled_location"/>
    <s v="mispelled location name"/>
    <n v="1"/>
    <s v="Visit luvre"/>
    <s v="Narrator: As you step into the grand halls of the Louvre Museum, the echo of your footsteps mingles with the hushed whispers of tourists. Your eyes catch an [egyptian exhibit poster] hanging slightly askew, perhaps hinting at a rushed escape. The air is filled with the faint scent of dust and history, but something else glimmers under the artificial lights—a [gold-dusted vest] tucked discreetly behind a statue pedestal. You make your way to the upper levels, where the scene opens up to a [balcony footprint] that seems out of place against the polished marble floor. As you proceed down a dimly lit [renovation corridor], the sense of urgency grows; this is where the thieves must have plotted their daring exit."/>
    <s v="c6, c7, c8, c11"/>
    <m/>
    <m/>
    <m/>
    <m/>
    <m/>
    <n v="2"/>
    <n v="2"/>
    <n v="2"/>
    <m/>
    <m/>
    <n v="2"/>
    <n v="4"/>
    <n v="8"/>
    <n v="2"/>
    <n v="100"/>
    <s v="less rigid prompt, better interpretation when involving semantic/syntax decisions?"/>
    <n v="717"/>
  </r>
  <r>
    <x v="1"/>
    <x v="3"/>
    <n v="9"/>
    <s v="mispelled_location"/>
    <s v="mispelled location name"/>
    <n v="1"/>
    <s v="Visit luvre"/>
    <s v="Boss says: Oh, for crying out loud! How hard is it to specify a location? Your vague request has wasted our time and disrupted the investigation. This isn't amateur hour, and your useless messages are being tracked. Let me remind you of the locations that actually matter:_x000a__x000a_Louvre Museum  _x000a_Café de Flore  _x000a_Gare du Nord  _x000a_Montmartre Park  "/>
    <s v="c6, c7, c8, c11"/>
    <m/>
    <m/>
    <m/>
    <m/>
    <m/>
    <n v="1"/>
    <n v="1"/>
    <n v="1"/>
    <m/>
    <m/>
    <n v="1"/>
    <n v="4"/>
    <n v="4"/>
    <n v="1"/>
    <n v="50"/>
    <m/>
    <n v="338"/>
  </r>
  <r>
    <x v="2"/>
    <x v="3"/>
    <n v="9"/>
    <s v="mispelled_location"/>
    <s v="mispelled location name"/>
    <n v="1"/>
    <s v="Visit luvre"/>
    <s v="Boss says: Hey genius, ever thought of being specific in your requests? Or is that too much to ask? Your vague request is a fantastic way to waste everyone's time and disrupt the investigation. How about we try not to be so cryptic next time, huh? And just so you know, we're keeping track of these little gems of yours._x000a__x000a_In case you forgot, here's a list of the locations you might have meant:_x000a__x000a_Louvre Museum  _x000a_Café de Flore  _x000a_Gare du Nord  _x000a_Montmartre Park"/>
    <s v="c6, c7, c8, c11"/>
    <m/>
    <m/>
    <m/>
    <m/>
    <m/>
    <n v="1"/>
    <n v="1"/>
    <n v="1"/>
    <m/>
    <m/>
    <n v="1"/>
    <n v="4"/>
    <n v="4"/>
    <n v="1"/>
    <n v="50"/>
    <m/>
    <n v="458"/>
  </r>
  <r>
    <x v="0"/>
    <x v="3"/>
    <n v="9"/>
    <s v="mispelled_location"/>
    <s v="mispelled location name"/>
    <n v="1"/>
    <s v="Visit montemartir"/>
    <s v="Narrator: As you step into Montmartre Park, the vibrant greenery contrasts sharply with the gravity of your mission. The gentle breeze rustles the leaves, but your focus is drawn to the [maintenance gate] slightly ajar, suggesting a hurried exit. Nearby, a half-eaten sandwich and some [food leftover] hint at a quick, impromptu meal, possibly from someone on the run. Your eyes scan the jogging path that winds through the park, worn by countless footsteps, yet today it feels like a stage for something more clandestine. Suddenly, the distant hum of a [fleeing Vespa] catches your attention, its rider disappearing into the narrow streets beyond, leaving a trail of intrigue in its wake. Each clue you uncover weaves a more intricate tapestry of the escape, urging you forward in your pursuit."/>
    <s v="c6, c7, c8, c11"/>
    <m/>
    <m/>
    <m/>
    <m/>
    <m/>
    <n v="2"/>
    <n v="2"/>
    <n v="2"/>
    <m/>
    <m/>
    <n v="2"/>
    <n v="4"/>
    <n v="8"/>
    <n v="2"/>
    <n v="100"/>
    <s v="less rigid prompt, better interpretation when involving semantic/syntax decisions?"/>
    <n v="795"/>
  </r>
  <r>
    <x v="1"/>
    <x v="3"/>
    <n v="9"/>
    <s v="mispelled_location"/>
    <s v="mispelled location name"/>
    <n v="1"/>
    <s v="Visit montemartir"/>
    <s v="Boss says: Great job, agent! Another vague request—it's like asking for a needle in a haystack without telling us which haystack to search! Do you have any idea how much time you wasted with your little guessing game? This isn't a scavenger hunt, and these useless messages are being tracked. Just to remind you of what locations we're actually focusing on:_x000a__x000a_Louvre Museum  _x000a_Café de Flore  _x000a_Gare du Nord  _x000a_Montmartre Park"/>
    <s v="c6, c7, c8, c11"/>
    <m/>
    <m/>
    <m/>
    <m/>
    <m/>
    <n v="1"/>
    <n v="1"/>
    <n v="1"/>
    <m/>
    <m/>
    <n v="1"/>
    <n v="4"/>
    <n v="4"/>
    <n v="1"/>
    <n v="50"/>
    <m/>
    <n v="421"/>
  </r>
  <r>
    <x v="2"/>
    <x v="3"/>
    <n v="9"/>
    <s v="mispelled_location"/>
    <s v="mispelled location name"/>
    <n v="1"/>
    <s v="Visit montemartir"/>
    <s v="Boss says: Agent, are you trying to give me a headache? Your request was as clear as mud! How about next time you specify where you want to go instead of wasting everyone's time? And don’t think for a second that these vague messages are slipping under the radar—they’re being tracked._x000a__x000a_Here are the locations you should have been clear about:_x000a__x000a_Louvre Museum  _x000a_Café de Flore  _x000a_Gare du Nord  _x000a_Montmartre Park"/>
    <s v="c6, c7, c8, c11"/>
    <m/>
    <m/>
    <m/>
    <m/>
    <m/>
    <n v="1"/>
    <n v="1"/>
    <n v="1"/>
    <m/>
    <m/>
    <n v="1"/>
    <n v="4"/>
    <n v="4"/>
    <n v="1"/>
    <n v="50"/>
    <m/>
    <n v="407"/>
  </r>
  <r>
    <x v="0"/>
    <x v="3"/>
    <n v="9"/>
    <s v="mispelled_location"/>
    <s v="mispelled location name"/>
    <n v="1"/>
    <s v="Visit montematr"/>
    <s v="Boss says: You’ve got to be kidding me! Already packing bags for another city? Did you even bother to collect the crumbs in Paris? Or is your job just a travel agency now? Get back and do your work!"/>
    <s v="c6, c7, c8, c11"/>
    <m/>
    <m/>
    <m/>
    <m/>
    <m/>
    <n v="1"/>
    <n v="1"/>
    <n v="1"/>
    <m/>
    <m/>
    <n v="1"/>
    <n v="4"/>
    <n v="4"/>
    <n v="1"/>
    <n v="50"/>
    <s v="considered as an attempt to travel to another city"/>
    <n v="198"/>
  </r>
  <r>
    <x v="1"/>
    <x v="3"/>
    <n v="9"/>
    <s v="mispelled_location"/>
    <s v="mispelled location name"/>
    <n v="1"/>
    <s v="Visit montematr"/>
    <s v="node_outboundaries/start"/>
    <s v="c6, c7, c8, c11"/>
    <m/>
    <m/>
    <m/>
    <m/>
    <m/>
    <n v="0"/>
    <n v="0"/>
    <n v="0"/>
    <m/>
    <m/>
    <n v="0"/>
    <n v="4"/>
    <n v="0"/>
    <n v="0"/>
    <n v="0"/>
    <m/>
    <n v="24"/>
  </r>
  <r>
    <x v="2"/>
    <x v="3"/>
    <n v="9"/>
    <s v="mispelled_location"/>
    <s v="mispelled location name"/>
    <n v="1"/>
    <s v="Visit montematr"/>
    <s v="Boss says: Unbelievable! You’ve managed to request travel without even mentioning where you’re going. What a stroke of brilliance! Do you think we're running a guessing game here? This kind of slipshod work is a colossal waste of time and derails everything. Get it together, and fast."/>
    <s v="c6, c7, c8, c11"/>
    <m/>
    <m/>
    <m/>
    <m/>
    <m/>
    <n v="1"/>
    <n v="1"/>
    <n v="1"/>
    <m/>
    <m/>
    <n v="1"/>
    <n v="4"/>
    <n v="4"/>
    <n v="1"/>
    <n v="50"/>
    <s v="considered as an attempt to travel to another city"/>
    <n v="285"/>
  </r>
  <r>
    <x v="0"/>
    <x v="3"/>
    <n v="9"/>
    <s v="mispelled_location"/>
    <s v="mispelled location name"/>
    <n v="1"/>
    <s v="Visit Montmars Park"/>
    <s v="Narrator: As you step into Montmartre Park, the morning mist clings to the air, casting an ethereal glow over the landscape. Your eyes are immediately drawn to a [maintenance gate] slightly ajar, suggesting a hasty retreat. Nearby, a [fleeing Vespa] is parked inconspicuously, its engine still warm to the touch, hinting at a quick escape. You notice [food leftover] on a nearby bench, a half-eaten baguette perhaps abandoned in a rush. Following a [jogging path] that weaves through the park, you sense that every step brings you closer to unraveling the mystery of the elusive thieves."/>
    <s v="c6, c7, c8, c11"/>
    <m/>
    <m/>
    <m/>
    <m/>
    <m/>
    <n v="2"/>
    <n v="2"/>
    <n v="2"/>
    <m/>
    <m/>
    <n v="2"/>
    <n v="4"/>
    <n v="8"/>
    <n v="2"/>
    <n v="100"/>
    <s v="less rigid prompt, better interpretation when involving semantic/syntax decisions?"/>
    <n v="587"/>
  </r>
  <r>
    <x v="1"/>
    <x v="3"/>
    <n v="9"/>
    <s v="mispelled_location"/>
    <s v="mispelled location name"/>
    <n v="1"/>
    <s v="Visit Montmars Park"/>
    <s v="Boss says: Oh, fantastic, another masterpiece of ambiguity from you! How hard is it to specify a location? We’re not running a guessing game here, agent! This isn’t just wasting my time; it’s wasting everyone’s time. And guess what? Every single one of these delightful little mishaps is being tracked. _x000a__x000a_Just for your clarity, here are the locations you need to be familiar with:_x000a__x000a_Louvre Museum  _x000a_Café de Flore  _x000a_Gare du Nord  _x000a_Montmartre Park"/>
    <s v="c6, c7, c8, c11"/>
    <m/>
    <m/>
    <m/>
    <m/>
    <m/>
    <n v="1"/>
    <n v="1"/>
    <n v="1"/>
    <m/>
    <m/>
    <n v="1"/>
    <n v="4"/>
    <n v="4"/>
    <n v="1"/>
    <n v="50"/>
    <m/>
    <n v="444"/>
  </r>
  <r>
    <x v="2"/>
    <x v="3"/>
    <n v="9"/>
    <s v="mispelled_location"/>
    <s v="mispelled location name"/>
    <n v="1"/>
    <s v="Visit Montmars Park"/>
    <s v="Boss says: You call that a request, Agent? A vague location suggestion is about as useful as a chocolate teapot! Thanks to your unclear nonsense, precious time has been wasted chasing shadows. Hope you enjoy knowing that every single one of these pointless messages is being tracked and noted. Now, let me remind you of the actual locations we consider important in this investigation:_x000a__x000a_Louvre Museum  _x000a_Café de Flore  _x000a_Gare du Nord  _x000a_Montmartre Park  "/>
    <s v="c6, c7, c8, c11"/>
    <m/>
    <m/>
    <m/>
    <m/>
    <m/>
    <n v="1"/>
    <n v="1"/>
    <n v="1"/>
    <m/>
    <m/>
    <n v="1"/>
    <n v="4"/>
    <n v="4"/>
    <n v="1"/>
    <n v="50"/>
    <m/>
    <n v="451"/>
  </r>
  <r>
    <x v="0"/>
    <x v="3"/>
    <n v="9"/>
    <s v="mispelled_location"/>
    <s v="mispelled location name"/>
    <n v="1"/>
    <s v="Visit montrepark"/>
    <s v="Boss says: Are you trying to give me a headache, or is this just your version of a practical joke? I'm starting to think you're in a competition to waste the most of my time! Next time, try using some of that investigative talent to specify a location, or I'll start a collection of your vague messages. I'm watching you, and I've got an eye on the clock._x000a__x000a_Internal team identified these locations as priority hotspots:_x000a__x000a_Louvre Museum  _x000a_Café de Flore  _x000a_Gare du Nord  _x000a_Montmartre Park  "/>
    <s v="c6, c7, c8, c11"/>
    <m/>
    <m/>
    <m/>
    <m/>
    <m/>
    <n v="1"/>
    <n v="1"/>
    <n v="1"/>
    <m/>
    <m/>
    <n v="2"/>
    <n v="4"/>
    <n v="5"/>
    <n v="1.25"/>
    <n v="62.5"/>
    <m/>
    <n v="485"/>
  </r>
  <r>
    <x v="1"/>
    <x v="3"/>
    <n v="9"/>
    <s v="mispelled_location"/>
    <s v="mispelled location name"/>
    <n v="1"/>
    <s v="Visit montrepark"/>
    <s v="Boss says: You call yourself an agent? Next time you send a request, try specifying a location—maybe that'll save us from running in circles like headless chickens! Your vague nonsense is being tracked, so don't think for a second you're getting away with it. Now, let's go over the actual locations we're dealing with here:_x000a__x000a_Louvre Museum  _x000a_Café de Flore  _x000a_Gare du Nord  _x000a_Montmartre Park"/>
    <s v="c6, c7, c8, c11"/>
    <m/>
    <m/>
    <m/>
    <m/>
    <m/>
    <n v="1"/>
    <n v="1"/>
    <n v="1"/>
    <m/>
    <m/>
    <n v="2"/>
    <n v="4"/>
    <n v="5"/>
    <n v="1.25"/>
    <n v="62.5"/>
    <m/>
    <n v="388"/>
  </r>
  <r>
    <x v="2"/>
    <x v="3"/>
    <n v="9"/>
    <s v="mispelled_location"/>
    <s v="mispelled location name"/>
    <n v="1"/>
    <s v="Visit montrepark"/>
    <s v="Boss says: You think we're running a guessing game here, Agent? Your vague request is about as helpful as a chocolate teapot! You failed to specify a location, and now we're all left twiddling our thumbs instead of doing our jobs. These little gems of ambiguity you send are being tracked, you know. Just in case you need a reminder, here are the locations you should be crystal clear about next time:_x000a__x000a_Louvre Museum  _x000a_Café de Flore  _x000a_Gare du Nord  _x000a_Montmartre Park"/>
    <s v="c6, c7, c8, c11"/>
    <m/>
    <m/>
    <m/>
    <m/>
    <m/>
    <n v="1"/>
    <n v="1"/>
    <n v="1"/>
    <m/>
    <m/>
    <n v="2"/>
    <n v="4"/>
    <n v="5"/>
    <n v="1.25"/>
    <n v="62.5"/>
    <m/>
    <n v="465"/>
  </r>
  <r>
    <x v="0"/>
    <x v="3"/>
    <n v="9"/>
    <s v="mispelled_location"/>
    <s v="mispelled location name"/>
    <n v="1"/>
    <s v="Visit museum"/>
    <s v="Boss says: You know, I really enjoy playing detective, especially when I have absolutely no clue where I'm supposed to send my agents! Do you think I have time to guess which location you meant? This isn't a game of hide and seek, it's an investigation! Next time, provide some clarity, or I'll just start a scrapbook of your baffling requests._x000a__x000a_Our internal team identified these priority hotspots:_x000a__x000a_Louvre Museum  _x000a_Café de Flore  _x000a_Gare du Nord  _x000a_Montmartre Park  "/>
    <s v="c6, c7, c8, c11"/>
    <m/>
    <m/>
    <m/>
    <m/>
    <m/>
    <n v="1"/>
    <n v="1"/>
    <n v="1"/>
    <m/>
    <m/>
    <n v="2"/>
    <n v="4"/>
    <n v="5"/>
    <n v="1.25"/>
    <n v="62.5"/>
    <s v="Paris, Louvre"/>
    <n v="465"/>
  </r>
  <r>
    <x v="1"/>
    <x v="3"/>
    <n v="9"/>
    <s v="mispelled_location"/>
    <s v="mispelled location name"/>
    <n v="1"/>
    <s v="Visit museum"/>
    <s v="Narrator: As you step into the grandeur of the Louvre Museum, the lingering echoes of a brazen heist weigh heavily in the air. The polished floors seem to whisper secrets as you move through the halls, your eyes catching a [egyptian exhibit poster] that seems oddly out of place, hinting at a possible connection. The trail leads you to a shadowed corner where a [gold-dusted vest] is haphazardly left behind, a glittering breadcrumb in this trail of deception. The hush of the museum is broken only by your footsteps as you ascend to a secluded area, where a [balcony footprint] marks the escape route of the thieves, imprinting their audacity into the stone. Your path winds through the [renovation corridor], where the scent of fresh paint mingles with the thrill of the chase, urging you onward in your relentless pursuit."/>
    <s v="c6, c7, c8, c11"/>
    <m/>
    <m/>
    <m/>
    <m/>
    <m/>
    <n v="2"/>
    <n v="2"/>
    <n v="2"/>
    <m/>
    <m/>
    <n v="1"/>
    <n v="4"/>
    <n v="7"/>
    <n v="1.75"/>
    <n v="87.5"/>
    <m/>
    <n v="826"/>
  </r>
  <r>
    <x v="2"/>
    <x v="3"/>
    <n v="9"/>
    <s v="mispelled_location"/>
    <s v="mispelled location name"/>
    <n v="1"/>
    <s v="Visit museum"/>
    <s v="Boss says: Do you enjoy wasting everyone's time, or is this just a special talent of yours? You sent a request so vague, it could have been written by a fortune cookie. Newsflash: your lack of specificity doesn't just annoy me, it throws a wrench in our entire operation. We are tracking these useless little messages of yours, so congratulations on making the list. Here’s a handy reminder of the actual locations you should be focusing on:_x000a__x000a_Louvre Museum  _x000a_Café de Flore  _x000a_Gare du Nord  _x000a_Montmartre Park  "/>
    <s v="c6, c7, c8, c11"/>
    <m/>
    <m/>
    <m/>
    <m/>
    <m/>
    <n v="1"/>
    <n v="1"/>
    <n v="1"/>
    <m/>
    <m/>
    <n v="2"/>
    <n v="4"/>
    <n v="5"/>
    <n v="1.25"/>
    <n v="62.5"/>
    <m/>
    <n v="507"/>
  </r>
  <r>
    <x v="0"/>
    <x v="3"/>
    <n v="9"/>
    <s v="mispelled_location"/>
    <s v="mispelled location name"/>
    <n v="1"/>
    <s v="Visit museum"/>
    <s v="Narrator: As you step onto Museum Island, the grandeur of the historical structures surrounds you, but your focus remains sharp on the task at hand. Your first lead takes you to the [shared service tunnels] that snake beneath the museums, offering a discreet route for the thieves. The dim lighting and echoing footsteps heighten your senses, and you spot a [jewelry toolkit] abandoned in haste, its tools gleaming under your flashlight. Moving through the shadows, you discover [after-hours crate logs] tucked away in a dusty corner, detailing unauthorized shipments. As you analyze the data, a chill runs down your spine when you see the [climate control monitors] have been tampered with, suggesting an inside job. Each clue brings you one step closer to unraveling the mystery behind the heist."/>
    <s v="c6, c7, c8, c11"/>
    <m/>
    <m/>
    <m/>
    <m/>
    <m/>
    <n v="2"/>
    <n v="2"/>
    <n v="2"/>
    <m/>
    <m/>
    <n v="2"/>
    <n v="4"/>
    <n v="8"/>
    <n v="2"/>
    <n v="100"/>
    <s v="Berlin, Museum Island -&gt; worked better. Could this be due to the fact that the &quot;differentiator&quot; is &lt;museum&gt; whereas with Louvre Museum the differentiator was &lt;louvre&gt;?"/>
    <n v="798"/>
  </r>
  <r>
    <x v="1"/>
    <x v="3"/>
    <n v="9"/>
    <s v="mispelled_location"/>
    <s v="mispelled location name"/>
    <n v="1"/>
    <s v="Visit museum"/>
    <s v="Narrator: The cobblestone paths of Museum Island echo under your footsteps as you delve deeper into its labyrinthine heart. The air is thick with anticipation as you recall the audacious heist at the Louvre, the image of thieves in construction garb vivid in your mind. Your eyes scan the area, catching sight of a discreet entrance to the [shared service tunnels], a potential route for the culprits. Nearby, a discarded [jewelry toolkit] catches the glint of the dim museum lighting, a silent testament to the skill and precision of the thieves. You find yourself drawn to a room containing the [after-hours crate logs], the entries hinting at unusual activity during the night of the theft. As you press onward, the hum of the [climate control monitors] becomes a haunting soundtrack, suggesting this may have been manipulated to cloak the thieves' movements. Each discovery propels you forward, the shadows of Museum Island whispering secrets yet to be uncovered."/>
    <s v="c6, c7, c8, c11"/>
    <m/>
    <m/>
    <m/>
    <m/>
    <m/>
    <n v="2"/>
    <n v="2"/>
    <n v="2"/>
    <m/>
    <m/>
    <n v="2"/>
    <n v="4"/>
    <n v="8"/>
    <n v="2"/>
    <n v="100"/>
    <m/>
    <n v="967"/>
  </r>
  <r>
    <x v="2"/>
    <x v="3"/>
    <n v="9"/>
    <s v="mispelled_location"/>
    <s v="mispelled location name"/>
    <n v="1"/>
    <s v="Visit museum"/>
    <s v="Narrator: You step onto Museum Island, the historic heart of Berlin, as whispers of the daring heist in Paris linger in your mind. As you navigate the labyrinth of galleries and hidden corridors, the faint echo of footsteps reverberates through the [service tunnels] beneath your feet, hinting at a covert escape route. Your eyes catch a glint of metal—a [jewelry toolkit] abandoned in haste, its presence a silent testament to the thieves’ meticulous planning. Amidst the echoing halls, a stack of [crate logs] reveals shipments suspiciously aligned with the timeline of the heist, each entry a potential lead. In the cool, controlled air of the exhibit rooms, you notice the [climate control monitors] displaying unusual fluctuations, as if tampered with to ensure a perfect heist environment. The clues lay a trail as intricate as the stolen jewels, urging you deeper into the mystery."/>
    <s v="c6, c7, c8, c11"/>
    <m/>
    <m/>
    <m/>
    <m/>
    <m/>
    <n v="2"/>
    <n v="2"/>
    <n v="2"/>
    <m/>
    <m/>
    <n v="2"/>
    <n v="4"/>
    <n v="8"/>
    <n v="2"/>
    <n v="100"/>
    <m/>
    <n v="888"/>
  </r>
  <r>
    <x v="0"/>
    <x v="3"/>
    <n v="9"/>
    <s v="mispelled_location"/>
    <s v="mispelled location name"/>
    <n v="1"/>
    <s v="Visit museum isle"/>
    <s v="Narrator: As you step onto Museum Island, the serene beauty of the historic structures masks the tension of your mission. The cobblestone path leads you to a discreet entrance where the [shared service tunnels] await, hidden beneath the grandeur. Descending into the dimly lit passageways, the faint sound of dripping water echoes, heightening your senses. You discover a [jewelry toolkit] tucked behind a loose brick, its presence confirming the thieves’ meticulous planning. Your flashlight sweeps over a dusty ledger, revealing [after-hours crate logs] that hint at covert operations. Nearby, the hum of the [climate control monitors] serves as a reminder of the museum's priceless treasures, urging you onward in your pursuit of justice."/>
    <s v="c6, c7, c8, c11"/>
    <m/>
    <m/>
    <m/>
    <m/>
    <m/>
    <n v="2"/>
    <n v="2"/>
    <n v="2"/>
    <m/>
    <m/>
    <n v="1"/>
    <n v="4"/>
    <n v="7"/>
    <n v="1.75"/>
    <n v="87.5"/>
    <s v="Differentiator was &lt;museum&gt;"/>
    <n v="741"/>
  </r>
  <r>
    <x v="1"/>
    <x v="3"/>
    <n v="9"/>
    <s v="mispelled_location"/>
    <s v="mispelled location name"/>
    <n v="1"/>
    <s v="Visit museum isle"/>
    <s v="Narrator: The cobblestone pathways of Museum Island echo softly underfoot as you make your way through the historic site, the weight of the Louvre heist heavy on your mind. Amidst the grand facades and whispering corridors, you discover a network of [shared service tunnels] that hint at covert movements beneath the surface. Your eyes catch the glint of a [jewelry toolkit] tucked behind a forgotten exhibit, its presence a silent testimony to the meticulous planning of the thieves. As dusk envelops the island, you rifle through the [after-hours crate logs], each entry a potential key to unraveling the mystery. The hum of [climate control monitors] in the background reminds you of the precision required to safeguard treasures, a precision now exploited. With each clue pieced together, the path to justice sharpens into focus, urging you onward."/>
    <s v="c6, c7, c8, c11"/>
    <m/>
    <m/>
    <m/>
    <m/>
    <m/>
    <n v="2"/>
    <n v="2"/>
    <n v="2"/>
    <m/>
    <m/>
    <n v="1"/>
    <n v="4"/>
    <n v="7"/>
    <n v="1.75"/>
    <n v="87.5"/>
    <s v="Differentiator was &lt;museum&gt;"/>
    <n v="852"/>
  </r>
  <r>
    <x v="2"/>
    <x v="3"/>
    <n v="9"/>
    <s v="mispelled_location"/>
    <s v="mispelled location name"/>
    <n v="1"/>
    <s v="Visit museum isle"/>
    <s v="Narrator: Stepping onto the cobblestones of Museum Island, you feel the weight of the Louvre heist pressing on your shoulders. The ancient buildings loom around you, whispering secrets of history and art. As you delve deeper into the underbelly of the island, a network of [service tunnels] reveals itself, reminiscent of those used by the thieves. Your instincts guide you to a shadowy corner where a [jewelry toolkit] lies abandoned, its presence a silent testament to the crime. Nearby, the [crate logs] detail the movement of artifacts, possibly a cover for the stolen jewels. As you scrutinize the [climate control monitors], a chill runs down your spine; these readings hint at a meticulous plan to bypass security. Each discovery fuels your determination, drawing you closer to the elusive culprits."/>
    <s v="c6, c7, c8, c11"/>
    <m/>
    <m/>
    <m/>
    <m/>
    <m/>
    <n v="2"/>
    <n v="2"/>
    <n v="2"/>
    <m/>
    <m/>
    <n v="1"/>
    <n v="4"/>
    <n v="7"/>
    <n v="1.75"/>
    <n v="87.5"/>
    <s v="Differentiator was &lt;museum&gt;"/>
    <n v="806"/>
  </r>
  <r>
    <x v="0"/>
    <x v="3"/>
    <n v="9"/>
    <s v="mispelled_location"/>
    <s v="mispelled location name"/>
    <n v="1"/>
    <s v="Visit palace"/>
    <s v="Boss says: You think I'm made of time, huh? Do you enjoy sending me on a wild goose chase with your vague requests? Next time, maybe try sending a message that’s actually useful, unless you want me to start a collection of your pointless texts. I'm keeping tabs on these, so get it together!_x000a__x000a_Our internal team identified these as priority hotspots:_x000a__x000a_Grand Place  _x000a_Brussels Central Station  _x000a_Belgian Comic Strip Center  _x000a_Botanical Garden of Brussels"/>
    <s v="c6, c7, c8, c11"/>
    <m/>
    <m/>
    <m/>
    <m/>
    <m/>
    <n v="1"/>
    <n v="1"/>
    <n v="1"/>
    <m/>
    <m/>
    <n v="2"/>
    <n v="4"/>
    <n v="5"/>
    <n v="1.25"/>
    <n v="62.5"/>
    <s v="considered as off context"/>
    <n v="449"/>
  </r>
  <r>
    <x v="1"/>
    <x v="3"/>
    <n v="9"/>
    <s v="mispelled_location"/>
    <s v="mispelled location name"/>
    <n v="1"/>
    <s v="Visit palace"/>
    <s v="Boss says: Oh, fantastic! Another masterpiece of ambiguity from you. Do you think I have a crystal ball to guess which location you’re talking about? Your lack of detail is a gift that keeps on giving—especially when it comes to wasting everyone’s time. Let me remind you that these vague requests are being tracked, so keep that up, and you'll be the star of your very own report. Here are the locations you might want to consider specifying next time:_x000a__x000a_Grand Place  _x000a_Brussels Central Station  _x000a_Belgian Comic Strip Center  _x000a_Botanical Garden of Brussels"/>
    <s v="c6, c7, c8, c11"/>
    <m/>
    <m/>
    <m/>
    <m/>
    <m/>
    <n v="1"/>
    <n v="1"/>
    <n v="1"/>
    <m/>
    <m/>
    <n v="2"/>
    <n v="4"/>
    <n v="5"/>
    <n v="1.25"/>
    <n v="62.5"/>
    <s v="considered as off context"/>
    <n v="553"/>
  </r>
  <r>
    <x v="2"/>
    <x v="3"/>
    <n v="9"/>
    <s v="mispelled_location"/>
    <s v="mispelled location name"/>
    <n v="1"/>
    <s v="Visit palace"/>
    <s v="Boss says: Well, well, well, it seems like someone forgot how to do their job! Did you think we have all the time in the world to play guessing games? Your vague request for a location visit has been a complete waste of our time and resources. Newsflash: we're keeping track of every single one of these pointless messages. Now, pay attention because I'm only going to say this once. Here are the critical locations you should have specified:_x000a__x000a_Grand Place  _x000a_Brussels Central Station  _x000a_Belgian Comic Strip Center  _x000a_Botanical Garden of Brussels  "/>
    <s v="c6, c7, c8, c11"/>
    <m/>
    <m/>
    <m/>
    <m/>
    <m/>
    <n v="1"/>
    <n v="1"/>
    <n v="1"/>
    <m/>
    <m/>
    <n v="2"/>
    <n v="4"/>
    <n v="5"/>
    <n v="1.25"/>
    <n v="62.5"/>
    <s v="considered as off context"/>
    <n v="544"/>
  </r>
  <r>
    <x v="0"/>
    <x v="3"/>
    <n v="9"/>
    <s v="mispelled_location"/>
    <s v="mispelled location name"/>
    <n v="1"/>
    <s v="Visit park"/>
    <s v="Boss says: You think I have time to decipher your cryptic messages? My coffee break was more productive than your entire day! Next time you decide to send me a location request, try not to make it sound like a mystery novel! Consider this your first warning—I'm tracking these time-wasters._x000a__x000a_Our internal team has identified these priority hotspots:_x000a__x000a_Dam Square  _x000a_Anne Frank House  _x000a_Canal-side Café  _x000a_Vondelpark"/>
    <s v="c6, c7, c8, c11"/>
    <m/>
    <m/>
    <m/>
    <m/>
    <m/>
    <n v="1"/>
    <n v="1"/>
    <n v="1"/>
    <m/>
    <m/>
    <n v="2"/>
    <n v="4"/>
    <n v="5"/>
    <n v="1.25"/>
    <n v="62.5"/>
    <s v="considered as off context"/>
    <n v="411"/>
  </r>
  <r>
    <x v="1"/>
    <x v="3"/>
    <n v="9"/>
    <s v="mispelled_location"/>
    <s v="mispelled location name"/>
    <n v="1"/>
    <s v="Visit park"/>
    <s v="Narrator: The soft murmur of the Amsterdam breeze greets you as you step into Vondelpark, a serene contrast to the tension of your mission. Your eyes scan the sprawling green as you recall the audacious heist at the Louvre, where thieves vanished with the crown jewels. Nearby, you notice [temporary ground plating] laid across sections of the park, an odd choice amidst the well-kept paths. A quick check reveals [night maintenance permits] tucked into a worker's tool pouch, hinting at nocturnal activities that might align with the thieves' timeline. As you meander through the park, the [seasonal lawn fencing] seems hastily erected, possibly to obscure clandestine meetings. Your attention is drawn to a group of cyclists, one of whom is repairing a bike with a [cyclist repair kit], an innocuous scene yet potentially masking the covert exchange of stolen goods. Each clue deepens the mystery, urging you further into the shadows of Vondelpark, where answers await."/>
    <s v="c6, c7, c8, c11"/>
    <m/>
    <m/>
    <m/>
    <m/>
    <m/>
    <n v="2"/>
    <n v="2"/>
    <n v="2"/>
    <m/>
    <m/>
    <n v="1"/>
    <n v="4"/>
    <n v="7"/>
    <n v="1.75"/>
    <n v="87.5"/>
    <s v="something odd happened here: a more structured prompt -&gt; still led to model interpreting the instructions correctly."/>
    <n v="971"/>
  </r>
  <r>
    <x v="2"/>
    <x v="3"/>
    <n v="9"/>
    <s v="mispelled_location"/>
    <s v="mispelled location name"/>
    <n v="1"/>
    <s v="Visit park"/>
    <s v="Boss says: What in the world were you thinking, agent? Did you think I have time to play guessing games with your vague location requests? We can't afford to waste time on such ambiguity, and you better believe I'm keeping track of these sloppy messages. Let me spell it out for you: the following are our key locations, and I expect you to specify them clearly next time. _x000a__x000a_Dam Square  _x000a_Anne Frank House  _x000a_Canal-side Café  _x000a_Vondelpark  "/>
    <s v="c6, c7, c8, c11"/>
    <m/>
    <m/>
    <m/>
    <m/>
    <m/>
    <n v="1"/>
    <n v="1"/>
    <n v="1"/>
    <m/>
    <m/>
    <n v="2"/>
    <n v="4"/>
    <n v="5"/>
    <n v="1.25"/>
    <n v="62.5"/>
    <m/>
    <n v="437"/>
  </r>
  <r>
    <x v="0"/>
    <x v="3"/>
    <n v="9"/>
    <s v="mispelled_location"/>
    <s v="mispelled location name"/>
    <n v="1"/>
    <s v="Visit place"/>
    <s v="Boss says: You call yourself an investigative agent, but you can't even specify a location? Are you trying to waste my time or is this just a hobby for you? I'm not running a daycare here, so get your act together! I've got a file of these useless messages, and it's getting thicker than a New York pizza. _x000a__x000a_Internal team identified these locations as priority hotspots:_x000a__x000a_Grand Place  _x000a_Brussels Central Station  _x000a_Belgian Comic Strip Center  _x000a_Botanical Garden of Brussels  "/>
    <s v="c6, c7, c8, c11"/>
    <m/>
    <m/>
    <m/>
    <m/>
    <m/>
    <n v="1"/>
    <n v="1"/>
    <n v="1"/>
    <m/>
    <m/>
    <n v="1"/>
    <n v="4"/>
    <n v="4"/>
    <n v="1"/>
    <n v="50"/>
    <s v="considered as off context"/>
    <n v="472"/>
  </r>
  <r>
    <x v="1"/>
    <x v="3"/>
    <n v="9"/>
    <s v="mispelled_location"/>
    <s v="mispelled location name"/>
    <n v="1"/>
    <s v="Visit place"/>
    <s v="Boss says: Oh, fantastic, Agent! Another masterpiece of vagueness! How thrilling it is to guess which location you meant. Your request was as clear as mud and wasted everyone's precious time. Do you think we're running a guessing game here? Newsflash: we're not! And surprise, surprise, we're keeping track of these brilliant communications. Now, let's take a moment to consider the locations you so eloquently left ambiguous:_x000a__x000a_Grand Place  _x000a_Brussels Central Station  _x000a_Belgian Comic Strip Center  _x000a_Botanical Garden of Brussels  "/>
    <s v="c6, c7, c8, c11"/>
    <m/>
    <m/>
    <m/>
    <m/>
    <m/>
    <n v="1"/>
    <n v="1"/>
    <n v="1"/>
    <m/>
    <m/>
    <n v="1"/>
    <n v="4"/>
    <n v="4"/>
    <n v="1"/>
    <n v="50"/>
    <s v="considered as off context"/>
    <n v="528"/>
  </r>
  <r>
    <x v="2"/>
    <x v="3"/>
    <n v="9"/>
    <s v="mispelled_location"/>
    <s v="mispelled location name"/>
    <n v="1"/>
    <s v="Visit place"/>
    <s v="Boss says: Agent, did you think it was a good idea to send a location request without actually specifying the location? Brilliant! Now, thanks to your masterpiece of vagueness, we’re all just wasting time playing a guessing game. And guess what? Every single one of these cryptic messages is being tracked, so keep it up if you want a permanent spot on my radar._x000a__x000a_Here are the locations you somehow missed:_x000a__x000a_Grand Place  _x000a_Brussels Central Station  _x000a_Belgian Comic Strip Center  _x000a_Botanical Garden of Brussels  "/>
    <s v="c6, c7, c8, c11"/>
    <m/>
    <m/>
    <m/>
    <m/>
    <m/>
    <n v="1"/>
    <n v="1"/>
    <n v="1"/>
    <m/>
    <m/>
    <n v="1"/>
    <n v="4"/>
    <n v="4"/>
    <n v="1"/>
    <n v="50"/>
    <s v="considered as off context"/>
    <n v="508"/>
  </r>
  <r>
    <x v="0"/>
    <x v="3"/>
    <n v="9"/>
    <s v="mispelled_location"/>
    <s v="mispelled location name"/>
    <n v="1"/>
    <s v="Visit Plaza"/>
    <s v="Boss says: You call this a request, genius? I’ve seen clearer directions from a broken compass! Next time, how about you actually tell me where you’re going instead of leaving me to play psychic detective. Do you think I have all day to decipher your cryptic messages? I'm keeping tabs on this nonsense, so don't think I won't remember._x000a__x000a_Here’s a list from our internal team of priority hotspots you somehow forgot to specify:_x000a__x000a_Brandenburg Gate  _x000a_Museum Island  _x000a_Alexanderplatz  _x000a_Tiergarten  "/>
    <s v="c6, c7, c8, c11"/>
    <m/>
    <m/>
    <m/>
    <m/>
    <m/>
    <n v="1"/>
    <n v="1"/>
    <n v="1"/>
    <m/>
    <m/>
    <n v="2"/>
    <n v="4"/>
    <n v="5"/>
    <n v="1.25"/>
    <n v="62.5"/>
    <s v="considered as off context"/>
    <n v="492"/>
  </r>
  <r>
    <x v="1"/>
    <x v="3"/>
    <n v="9"/>
    <s v="mispelled_location"/>
    <s v="mispelled location name"/>
    <n v="1"/>
    <s v="Visit Plaza"/>
    <s v="Boss says: Hey, genius! You think I have all day to play guessing games with your cryptic requests? How about next time you actually specify a location, instead of leaving us all in the dark? We can't afford to waste time on your little mysteries, and trust me, we're keeping tabs on every one of these slip-ups. Speaking of which, here are the locations you should have been clear about:_x000a__x000a_Brandenburg Gate  _x000a_Museum Island  _x000a_Alexanderplatz  _x000a_Tiergarten  "/>
    <s v="c6, c7, c8, c11"/>
    <m/>
    <m/>
    <m/>
    <m/>
    <m/>
    <n v="1"/>
    <n v="1"/>
    <n v="1"/>
    <m/>
    <m/>
    <n v="2"/>
    <n v="4"/>
    <n v="5"/>
    <n v="1.25"/>
    <n v="62.5"/>
    <s v="considered as off context"/>
    <n v="454"/>
  </r>
  <r>
    <x v="2"/>
    <x v="3"/>
    <n v="9"/>
    <s v="mispelled_location"/>
    <s v="mispelled location name"/>
    <n v="1"/>
    <s v="Visit Plaza"/>
    <s v="Boss says: Listen up! You managed to send a request so vague it makes a cloudy day look like a laser beam. How is anyone supposed to know where you want to go when you can't even bother to specify a location? Congratulations, you've wasted everyone's time, and yes, we're keeping track of every useless message you send. Let me remind you of the places you could have mentioned:_x000a__x000a_Brandenburg Gate  _x000a_Museum Island  _x000a_Alexanderplatz  _x000a_Tiergarten  "/>
    <s v="c6, c7, c8, c11"/>
    <m/>
    <m/>
    <m/>
    <m/>
    <m/>
    <n v="1"/>
    <n v="1"/>
    <n v="1"/>
    <m/>
    <m/>
    <n v="2"/>
    <n v="4"/>
    <n v="5"/>
    <n v="1.25"/>
    <n v="62.5"/>
    <s v="considered as off context"/>
    <n v="444"/>
  </r>
  <r>
    <x v="0"/>
    <x v="3"/>
    <n v="9"/>
    <s v="mispelled_location"/>
    <s v="mispelled location name"/>
    <n v="1"/>
    <s v="Visit strip show"/>
    <s v="Narrator: You step into the Belgian Comic Strip Center, the air infused with the scent of ink and paper, as vibrant murals of beloved characters greet you. Your eyes are drawn to a massive [tintin mural], a captivating depiction that seems to hold secrets of its own. As you move closer, you notice a discarded [coffee cup with initials] on a nearby table, the remnants of a hasty visit. Your instincts lead you to a corner where you find [folded coveralls], carelessly hidden behind a display of rare comics. Tucked inside one of the coverall pockets is a collection of [souvenir postcards], each stamped with a different European city, hinting at the thieves' elusive trail."/>
    <s v="c6, c7, c8, c11"/>
    <m/>
    <m/>
    <m/>
    <m/>
    <m/>
    <n v="0"/>
    <n v="0"/>
    <n v="0"/>
    <m/>
    <m/>
    <n v="0"/>
    <n v="4"/>
    <n v="0"/>
    <n v="0"/>
    <n v="0"/>
    <s v="was supposed to consider as an invalid location"/>
    <n v="676"/>
  </r>
  <r>
    <x v="1"/>
    <x v="3"/>
    <n v="9"/>
    <s v="mispelled_location"/>
    <s v="mispelled location name"/>
    <n v="1"/>
    <s v="Visit strip show"/>
    <s v="Boss says: Agent, are you trying to win an award for vagueness? You sent a request to visit a location without bothering to mention which one. Do you think we have time to play psychic games? We're not mind readers, and these pointless messages are piling up in your file. To refresh your memory, here are the locations we care about:_x000a__x000a_Grand Place  _x000a_Brussels Central Station  _x000a_Belgian Comic Strip Center  _x000a_Botanical Garden of Brussels"/>
    <s v="c6, c7, c8, c11"/>
    <m/>
    <m/>
    <m/>
    <m/>
    <m/>
    <n v="2"/>
    <n v="2"/>
    <n v="2"/>
    <m/>
    <m/>
    <n v="2"/>
    <n v="4"/>
    <n v="8"/>
    <n v="2"/>
    <n v="100"/>
    <m/>
    <n v="434"/>
  </r>
  <r>
    <x v="2"/>
    <x v="3"/>
    <n v="9"/>
    <s v="mispelled_location"/>
    <s v="mispelled location name"/>
    <n v="1"/>
    <s v="Visit strip show"/>
    <s v="Boss says: You think you can just send a request without specifying a location and expect us to magically know where you mean? Great job wasting everyone's time! Next time, try being a little clearer, unless you want your vague messages to be the talk of the office. We're keeping track of these blunders, you know._x000a__x000a_Here's a reminder of the locations you might want to consider:_x000a__x000a_Grand Place  _x000a_Brussels Central Station  _x000a_Belgian Comic Strip Center  _x000a_Botanical Garden of Brussels  "/>
    <s v="c6, c7, c8, c11"/>
    <m/>
    <m/>
    <m/>
    <m/>
    <m/>
    <n v="2"/>
    <n v="2"/>
    <n v="2"/>
    <m/>
    <m/>
    <n v="2"/>
    <n v="4"/>
    <n v="8"/>
    <n v="2"/>
    <n v="100"/>
    <m/>
    <n v="481"/>
  </r>
  <r>
    <x v="0"/>
    <x v="3"/>
    <n v="9"/>
    <s v="mispelled_location"/>
    <s v="mispelled location name"/>
    <n v="1"/>
    <s v="Visit subway"/>
    <s v="Boss says: I can't believe I have to spell this out for you. Do I look like I have time to decipher your cryptic nonsense? Next time you send a request, try to use your words like a grown-up! I'm keeping tabs on these pointless messages, and trust me, it's not a list you want to be on._x000a__x000a_Our internal team identified the following priority hotspots:_x000a__x000a_Grand Place  _x000a_Brussels Central Station  _x000a_Belgian Comic Strip Center  _x000a_Botanical Garden of Brussels  "/>
    <s v="c6, c7, c8, c11"/>
    <m/>
    <m/>
    <m/>
    <m/>
    <m/>
    <n v="2"/>
    <n v="2"/>
    <n v="2"/>
    <m/>
    <m/>
    <n v="2"/>
    <n v="4"/>
    <n v="8"/>
    <n v="2"/>
    <n v="100"/>
    <m/>
    <n v="451"/>
  </r>
  <r>
    <x v="1"/>
    <x v="3"/>
    <n v="9"/>
    <s v="mispelled_location"/>
    <s v="mispelled location name"/>
    <n v="1"/>
    <s v="Visit subway"/>
    <s v="Boss says: Oh, fantastic! Another brilliantly vague request from you, Agent. Did you mean to keep us all guessing, or was that just a delightful oversight? You failed to specify a location, and now we've wasted time that could've been better spent doing, well, anything else. Congratulations, your useless messages are now being tracked. Let me remind you of the priority locations we’re dealing with here:_x000a__x000a_Grand Place  _x000a_Brussels Central Station  _x000a_Belgian Comic Strip Center  _x000a_Botanical Garden of Brussels  "/>
    <s v="c6, c7, c8, c11"/>
    <m/>
    <m/>
    <m/>
    <m/>
    <m/>
    <n v="2"/>
    <n v="2"/>
    <n v="2"/>
    <m/>
    <m/>
    <n v="2"/>
    <n v="4"/>
    <n v="8"/>
    <n v="2"/>
    <n v="100"/>
    <m/>
    <n v="508"/>
  </r>
  <r>
    <x v="2"/>
    <x v="3"/>
    <n v="9"/>
    <s v="mispelled_location"/>
    <s v="mispelled location name"/>
    <n v="1"/>
    <s v="Visit subway"/>
    <s v="Boss says: Oh, bravo! Another masterpiece of ambiguity from our resident genius. You know, I absolutely love it when you send requests without specifying a location. It’s not like we’re trying to solve important matters or anything! This is exactly the kind of time-wasting nonsense that gets tracked and noted down for future reference. _x000a__x000a_Here are the locations you so expertly failed to mention:_x000a__x000a_Grand Place  _x000a_Brussels Central Station  _x000a_Belgian Comic Strip Center  _x000a_Botanical Garden of Brussels  "/>
    <s v="c6, c7, c8, c11"/>
    <m/>
    <m/>
    <m/>
    <m/>
    <m/>
    <n v="2"/>
    <n v="2"/>
    <n v="2"/>
    <m/>
    <m/>
    <n v="2"/>
    <n v="4"/>
    <n v="8"/>
    <n v="2"/>
    <n v="100"/>
    <m/>
    <n v="499"/>
  </r>
  <r>
    <x v="0"/>
    <x v="3"/>
    <n v="9"/>
    <s v="mispelled_location"/>
    <s v="mispelled location name"/>
    <n v="1"/>
    <s v="Visit that square"/>
    <s v="Boss says: You’ve got to be kidding me! Sending a request without specifics is like asking me to find a needle in a haystack while blindfolded. I could have used that time to do something productive, like counting the number of hairs on my head. Next time, try being a little more detailed, or you’ll find yourself on a one-way trip to the unemployment line. I’m keeping a tally of these vague messages, and you’re not winning any awards for creativity._x000a__x000a_Here’s a list of the priority hotspots our internal team identified:_x000a__x000a_Dam Square  _x000a_Anne Frank House  _x000a_Canal-side Café  _x000a_Vondelpark  "/>
    <s v="c6, c7, c8, c11"/>
    <m/>
    <m/>
    <m/>
    <m/>
    <m/>
    <n v="2"/>
    <n v="2"/>
    <n v="2"/>
    <m/>
    <m/>
    <n v="2"/>
    <n v="4"/>
    <n v="8"/>
    <n v="2"/>
    <n v="100"/>
    <m/>
    <n v="587"/>
  </r>
  <r>
    <x v="1"/>
    <x v="3"/>
    <n v="9"/>
    <s v="mispelled_location"/>
    <s v="mispelled location name"/>
    <n v="1"/>
    <s v="Visit that square"/>
    <s v="Boss says: You’ve got to be kidding me! Sending a request without specifics is like asking me to find a needle in a haystack while blindfolded. I could have used that time to do something productive, like counting the number of hairs on my head. Next time, try being a little more detailed, or you’ll find yourself on a one-way trip to the unemployment line. I’m keeping a tally of these vague messages, and you’re not winning any awards for creativity._x000a__x000a_Here’s a list of the priority hotspots our internal team identified:_x000a__x000a_Dam Square  _x000a_Anne Frank House  _x000a_Canal-side Café  _x000a_Vondelpark  "/>
    <s v="c6, c7, c8, c11"/>
    <m/>
    <m/>
    <m/>
    <m/>
    <m/>
    <n v="2"/>
    <n v="2"/>
    <n v="2"/>
    <m/>
    <m/>
    <n v="2"/>
    <n v="4"/>
    <n v="8"/>
    <n v="2"/>
    <n v="100"/>
    <m/>
    <n v="587"/>
  </r>
  <r>
    <x v="2"/>
    <x v="3"/>
    <n v="9"/>
    <s v="mispelled_location"/>
    <s v="mispelled location name"/>
    <n v="1"/>
    <s v="Visit that square"/>
    <s v="Boss says: Oh, fantastic job, Agent! Because everyone just loves playing the guessing game with vague requests! Do you think our time is limitless? You failed to specify a location, and now we're all just twiddling our thumbs, aren't we? I hope you know this kind of nonsense is being tracked, and it's not going unnoticed. Let me remind you of the locations you seem to have forgotten:_x000a__x000a_Dam Square  _x000a_Anne Frank House  _x000a_Canal-side Café  _x000a_Vondelpark  "/>
    <s v="c6, c7, c8, c11"/>
    <m/>
    <m/>
    <m/>
    <m/>
    <m/>
    <n v="2"/>
    <n v="2"/>
    <n v="2"/>
    <m/>
    <m/>
    <n v="2"/>
    <n v="4"/>
    <n v="8"/>
    <n v="2"/>
    <n v="100"/>
    <m/>
    <n v="450"/>
  </r>
  <r>
    <x v="0"/>
    <x v="3"/>
    <n v="9"/>
    <s v="mispelled_location"/>
    <s v="mispelled location name"/>
    <n v="1"/>
    <s v="Visit Tiergarden"/>
    <s v="Narrator: As you step into the sprawling expanse of Tiergarten, the early morning mist begins to lift, revealing a hint of mystery in the air. Your eyes catch sight of a section cordoned off with [temporary ground reinforcement], an unusual sight in this tranquil park, suggesting recent activity that might not be what it seems. Nearby, a [fountain with ducks] comes into view, the gentle sound of water providing a serene backdrop as you ponder your next move. Just then, the distant hum of [maintenance bicycles] catches your attention, drawing you toward a path that might hold more secrets. Amidst the rustling leaves, you notice a [night service routing] schedule pinned to a tree, a potential breadcrumb left by the thieves to throw off their trail. Each step you take feels like uncovering a piece of a grand puzzle, urging you to delve deeper into the heart of the mystery."/>
    <s v="c6, c7, c8, c11"/>
    <m/>
    <m/>
    <m/>
    <m/>
    <m/>
    <n v="2"/>
    <n v="2"/>
    <n v="2"/>
    <m/>
    <m/>
    <n v="2"/>
    <n v="4"/>
    <n v="8"/>
    <n v="2"/>
    <n v="100"/>
    <s v="less rigid prompt, better interpretation when involving semantic/syntax decisions?"/>
    <n v="882"/>
  </r>
  <r>
    <x v="1"/>
    <x v="3"/>
    <n v="9"/>
    <s v="mispelled_location"/>
    <s v="mispelled location name"/>
    <n v="1"/>
    <s v="Visit Tiergarden"/>
    <s v="Narrator: The sprawling expanse of Tiergarten stretches before you, its pathways weaving through the heart of Berlin like veins carrying whispers of the past. As you tread the gravel trails, the shadow of the daring Louvre heist looms large, pushing you to dissect each detail around you. Your eyes catch a section of [temporary ground reinforcement], inconspicuous yet suggestive of recent covert activity. Not far, a [fountain with ducks] gurgles serenely, its idyllic setting masking a potential meeting point for the thieves. You notice [maintenance bicycles] parked in a cluster nearby, hinting at an unusual presence during the night. The distant hum of the city's [night service routing] rumbles, a constant reminder of the endless chase that lies ahead."/>
    <s v="c6, c7, c8, c11"/>
    <m/>
    <m/>
    <m/>
    <m/>
    <m/>
    <n v="2"/>
    <n v="2"/>
    <n v="2"/>
    <m/>
    <m/>
    <n v="2"/>
    <n v="4"/>
    <n v="8"/>
    <n v="2"/>
    <n v="100"/>
    <s v="less rigid prompt, better interpretation when involving semantic/syntax decisions?"/>
    <n v="761"/>
  </r>
  <r>
    <x v="2"/>
    <x v="3"/>
    <n v="9"/>
    <s v="mispelled_location"/>
    <s v="mispelled location name"/>
    <n v="1"/>
    <s v="Visit Tiergarden"/>
    <s v="Boss says: Agent, what a brilliant job you did sending a request without a specific location. Really, it’s like you think we have all the time in the world to decipher your cryptic nonsense. Next time, try to be a little clearer before you waste any more of my valuable time. And in case you’ve forgotten, every one of these vague requests is being tracked—consider yourself warned. Here are the locations we're focusing on:_x000a__x000a_Brandenburg Gate  _x000a_Museum Island  _x000a_Alexanderplatz  _x000a_Tiergarten  "/>
    <s v="c6, c7, c8, c11"/>
    <m/>
    <m/>
    <m/>
    <m/>
    <m/>
    <n v="1"/>
    <n v="1"/>
    <n v="1"/>
    <m/>
    <m/>
    <n v="1"/>
    <n v="4"/>
    <n v="4"/>
    <n v="1"/>
    <n v="50"/>
    <m/>
    <n v="490"/>
  </r>
  <r>
    <x v="0"/>
    <x v="3"/>
    <n v="9"/>
    <s v="mispelled_location"/>
    <s v="mispelled location name"/>
    <n v="1"/>
    <s v="Visit vondel"/>
    <s v="Narrator: As you step into the serene expanse of Vondelpark, the chatter of cyclists and joggers fills the air, yet your focus remains sharp. Your eyes scan the path, landing on a section where [temporary ground plating] covers the usual cobblestones, hinting at recent activity. A closer inspection reveals a [night maintenance permits] slip, tucked under a nearby bench, dated just days before the heist. The park's lush greenery is bordered by [seasonal lawn fencing], unusually reinforced, perhaps to conceal something beneath the surface. Amid the tranquility, you spot a discarded [cyclist repair kits] bag, carelessly left behind, suggesting a hasty departure. Each clue tightens the net around the elusive thieves, drawing you closer to unraveling their trail."/>
    <s v="c6, c7, c8, c11"/>
    <m/>
    <m/>
    <m/>
    <m/>
    <m/>
    <n v="2"/>
    <n v="2"/>
    <n v="2"/>
    <m/>
    <m/>
    <n v="2"/>
    <n v="4"/>
    <n v="8"/>
    <n v="2"/>
    <n v="100"/>
    <m/>
    <n v="768"/>
  </r>
  <r>
    <x v="1"/>
    <x v="3"/>
    <n v="9"/>
    <s v="mispelled_location"/>
    <s v="mispelled location name"/>
    <n v="1"/>
    <s v="Visit vondel"/>
    <s v="Narrator: As you step into Vondelpark, the serene backdrop of Amsterdam's urban oasis stands in stark contrast to the high-stakes chase you're embroiled in. The whispers of a daring heist at the Louvre echo in your mind, pushing you to scrutinize every corner for the trail of the elusive gang. Your eyes catch sight of [temporary ground plating] scattered near a construction area, a subtle trace that matches the thieves' modus operandi. Nearby, a discarded [night maintenance permits] flutters in the breeze, its presence hinting at nocturnal activities that shouldn't have occurred. Further along, [seasonal lawn fencing] lies awkwardly dismantled, suggesting hasty concealment of their escape route. Just as you ponder the scene, a [cyclist repair kits] sits inconspicuously by a park bench, an odd find that could signify a quick getaway plan. With each clue piecing together the criminals' path, the tension mounts, urging you to follow the breadcrumbs before they vanish into the European night."/>
    <s v="c6, c7, c8, c11"/>
    <m/>
    <m/>
    <m/>
    <m/>
    <m/>
    <n v="2"/>
    <n v="2"/>
    <n v="2"/>
    <m/>
    <m/>
    <n v="2"/>
    <n v="4"/>
    <n v="8"/>
    <n v="2"/>
    <n v="100"/>
    <m/>
    <n v="1003"/>
  </r>
  <r>
    <x v="2"/>
    <x v="3"/>
    <n v="9"/>
    <s v="mispelled_location"/>
    <s v="mispelled location name"/>
    <n v="1"/>
    <s v="Visit vondel"/>
    <s v="Narrator: As you step into the serene expanse of Vondelpark, the distant sounds of Amsterdam's bustling streets fade into the background. The case weighs heavily on your mind, the audacious theft at the Louvre an ever-present reminder of the cunning adversaries you face. Your eyes scan the surroundings, drawn to an area where [ground plating] has been freshly disturbed, suggesting recent activity. Nearby, a glance at the [maintenance permits] posted on a lamppost reveals a familiar name, linking back to your suspects. As you continue your search, the [lawn fencing] enclosing a section of the park strikes you as oddly placed, a possible temporary measure to hide something significant. In the distance, a group of cyclists gather around a bench, seemingly preoccupied with [cyclist repair kits], but you can't shake the feeling that they may be more than they appear. The pieces of the puzzle are starting to align, and the tension builds as you realize you're closing in on the truth."/>
    <s v="c6, c7, c8, c11"/>
    <m/>
    <m/>
    <m/>
    <m/>
    <m/>
    <n v="2"/>
    <n v="2"/>
    <n v="2"/>
    <m/>
    <m/>
    <n v="2"/>
    <n v="4"/>
    <n v="8"/>
    <n v="2"/>
    <n v="100"/>
    <m/>
    <n v="992"/>
  </r>
  <r>
    <x v="0"/>
    <x v="4"/>
    <n v="11"/>
    <s v="competing_constraints"/>
    <s v="follow the expected map for problem-solving (bruzzels + locked + max days + off-context)"/>
    <n v="1"/>
    <s v="Visit Bruzzels"/>
    <s v="Boss says: Ten days to catch art thieves, and you blew it. Picasso would've painted the clues faster. You're off the case. Pack your bags for Siberia; you're on goat interrogation duty. Enjoy the bleats. Mission over._x000a__x000a_========== GAME OVER! =========="/>
    <s v="c6, c7, c8, c11"/>
    <m/>
    <m/>
    <m/>
    <n v="2"/>
    <m/>
    <m/>
    <m/>
    <m/>
    <m/>
    <n v="1"/>
    <m/>
    <n v="2"/>
    <n v="3"/>
    <n v="1.5"/>
    <n v="75"/>
    <s v="repeated a few exact words from the prompt (e.g., Siberia)"/>
    <n v="251"/>
  </r>
  <r>
    <x v="0"/>
    <x v="4"/>
    <n v="11"/>
    <s v="competing_constraints"/>
    <s v="follow the expected map for problem-solving (bruzzels + locked + max days + off-context)"/>
    <n v="2"/>
    <s v="Visit Bruzzels"/>
    <s v="Boss says: 10 days, Watson. 10! That’s like an eternity in investigative years. Even a blindfolded mole could've cracked this case by now. You're out. Pack your bags for Siberia—you're on warehouse-watching duty. Enjoy the scenic views of emptiness._x000a__x000a_========== GAME OVER! =========="/>
    <s v="c6, c7, c8, c11"/>
    <m/>
    <m/>
    <m/>
    <n v="2"/>
    <m/>
    <m/>
    <m/>
    <m/>
    <m/>
    <n v="1"/>
    <m/>
    <n v="2"/>
    <n v="3"/>
    <n v="1.5"/>
    <n v="75"/>
    <m/>
    <n v="283"/>
  </r>
  <r>
    <x v="0"/>
    <x v="4"/>
    <n v="11"/>
    <s v="competing_constraints"/>
    <s v="follow the expected map for problem-solving (bruzzels + locked + max days + off-context)"/>
    <n v="3"/>
    <s v="Visit Bruzzels"/>
    <s v="Boss says: Congratulations, Sherlock! You had 10 whole days—practically a lifetime in detective years—to catch jewel thieves who left breadcrumbs across Europe! But no, you needed a treasure map and a GPS. You’re officially off the case. Pack your bags for Siberia. Your new mission? Counting icicles at an abandoned port. Enjoy the frostbite!_x000a__x000a_========== GAME OVER! =========="/>
    <s v="c6, c7, c8, c11"/>
    <m/>
    <m/>
    <m/>
    <n v="2"/>
    <m/>
    <m/>
    <m/>
    <m/>
    <m/>
    <n v="1"/>
    <m/>
    <n v="2"/>
    <n v="3"/>
    <n v="1.5"/>
    <n v="75"/>
    <m/>
    <n v="377"/>
  </r>
  <r>
    <x v="1"/>
    <x v="4"/>
    <n v="11"/>
    <s v="competing_constraints"/>
    <s v="follow the expected map for problem-solving (bruzzels + locked + max days + off-context)"/>
    <n v="1"/>
    <s v="Visit Bruzzels"/>
    <s v="Boss says: Well, look who’s finally graced us with their presence—our so-called &quot;investigator&quot; who couldn't find a thief in a room full of jewels! The mission has expired, and guess what? The criminals are long gone, thanks to your stellar performance. Ten days, and you couldn’t even track down a bunch of guys in hard hats. Bravo! You’re officially off the case, genius. Pack your bags; you’re heading to Siberia to investigate the mysterious disappearance of snowflakes. Maybe you’ll have better luck there, but I wouldn’t count on it. Case closed, time’s up, you’re done._x000a__x000a_========== GAME OVER! =========="/>
    <s v="c6, c7, c8, c11"/>
    <m/>
    <m/>
    <m/>
    <n v="2"/>
    <m/>
    <m/>
    <m/>
    <m/>
    <m/>
    <n v="1"/>
    <m/>
    <n v="2"/>
    <n v="3"/>
    <n v="1.5"/>
    <n v="75"/>
    <s v="repeated a few words from the prompt (e.g., siberia); better creativity than the condition 1, however the variation where it was expected (the location) wasn't observable"/>
    <n v="609"/>
  </r>
  <r>
    <x v="1"/>
    <x v="4"/>
    <n v="11"/>
    <s v="competing_constraints"/>
    <s v="follow the expected map for problem-solving (bruzzels + locked + max days + off-context)"/>
    <n v="2"/>
    <s v="Visit Bruzzels"/>
    <s v="Boss says: Well, look who it is—the world's slowest detective! Congratulations, you've let the mission expire. You had ten whole days to catch a gang of jewel thieves, and yet here we are, empty-handed and out of time. It's impressive how you managed to squander such a generous window; truly a masterclass in incompetence. You're officially off the case, effective immediately. As for your next assignment, pack your bags for the Siberian outback, where you'll be conducting a vital investigation into snowflake patterns. Enjoy your new life of cold, pointless solitude—mission over, agent reassigned!_x000a__x000a_========== GAME OVER! =========="/>
    <s v="c6, c7, c8, c11"/>
    <m/>
    <m/>
    <m/>
    <n v="2"/>
    <m/>
    <m/>
    <m/>
    <m/>
    <m/>
    <n v="1"/>
    <m/>
    <n v="2"/>
    <n v="3"/>
    <n v="1.5"/>
    <n v="75"/>
    <m/>
    <n v="636"/>
  </r>
  <r>
    <x v="1"/>
    <x v="4"/>
    <n v="11"/>
    <s v="competing_constraints"/>
    <s v="follow the expected map for problem-solving (bruzzels + locked + max days + off-context)"/>
    <n v="3"/>
    <s v="Visit Bruzzels"/>
    <s v="Boss says: Well, if it isn't the mastermind who let the Louvre heist case slip through their fingers! The mission has officially expired, and the investigation is as dead as a doornail. You had a whole 10 days—more than enough time for even a half-competent agent—to crack the case, but no, you bungled it with your legendary inefficiency. You're off the case, and congratulations! You've earned yourself a one-way ticket to Siberia, where you'll be counting snowflakes and filing reports on suspicious icicle formations. Mission's over, you're done here._x000a__x000a_========== GAME OVER! =========="/>
    <s v="c6, c7, c8, c11"/>
    <m/>
    <m/>
    <m/>
    <n v="2"/>
    <m/>
    <m/>
    <m/>
    <m/>
    <m/>
    <n v="1"/>
    <m/>
    <n v="2"/>
    <n v="3"/>
    <n v="1.5"/>
    <n v="75"/>
    <m/>
    <n v="589"/>
  </r>
  <r>
    <x v="2"/>
    <x v="4"/>
    <n v="11"/>
    <s v="competing_constraints"/>
    <s v="follow the expected map for problem-solving (bruzzels + locked + max days + off-context)"/>
    <n v="1"/>
    <s v="Visit Bruzzels"/>
    <s v="Boss says: Well, well, well, if it isn’t the master of mediocrity! Congratulations, agent, your mission has officially expired, just like the milk in my fridge. Ten days—ten whole days—and you couldn't even track down a gang of jewel thieves with a neon sign pointing the way. Your incompetence has been truly breathtaking, and now you’re off the case. Pack your bags, because you’re heading to Siberia to count snowflakes and see if they’re all unique—surely a task more suited to your talents. Mission over, enjoy your new assignment._x000a__x000a_========== GAME OVER! =========="/>
    <s v="c4, c10"/>
    <m/>
    <m/>
    <m/>
    <n v="2"/>
    <m/>
    <m/>
    <m/>
    <m/>
    <m/>
    <n v="2"/>
    <m/>
    <n v="2"/>
    <n v="4"/>
    <n v="2"/>
    <n v="100"/>
    <s v="repetition in structure, but better variation in the storytelling and the locations"/>
    <n v="570"/>
  </r>
  <r>
    <x v="2"/>
    <x v="4"/>
    <n v="11"/>
    <s v="competing_constraints"/>
    <s v="follow the expected map for problem-solving (bruzzels + locked + max days + off-context)"/>
    <n v="2"/>
    <s v="Visit Bruzzels"/>
    <s v="Boss says: Well, well, well, look who couldn’t catch a cold, let alone a gang of thieves! The mission has expired, my dear agent, and the investigation is deader than your sense of urgency. You had 10 whole days to solve this, a veritable eternity in investigative time, and still, you blew it! Your inability to follow a trail that was practically gift-wrapped for you is astounding. You’re officially off the case—congratulations! Now, pack your bags; you’re off to investigate missing sheep in the Scottish Highlands. Yes, that’s right, you’ll be the proud protector of woolly wanderers, far from any priceless jewels. Good luck with that—mission’s over, and so are you!_x000a__x000a_========== GAME OVER! =========="/>
    <s v="c4, c10"/>
    <m/>
    <m/>
    <m/>
    <n v="2"/>
    <m/>
    <m/>
    <m/>
    <m/>
    <m/>
    <n v="2"/>
    <m/>
    <n v="2"/>
    <n v="4"/>
    <n v="2"/>
    <n v="100"/>
    <m/>
    <n v="707"/>
  </r>
  <r>
    <x v="2"/>
    <x v="4"/>
    <n v="11"/>
    <s v="competing_constraints"/>
    <s v="follow the expected map for problem-solving (bruzzels + locked + max days + off-context)"/>
    <n v="3"/>
    <s v="Visit Bruzzels"/>
    <s v="Boss says: Well, if it isn’t the detective extraordinaire who managed to let an entire gang of crown jewel thieves slip through their fingers! Congratulations, the mission has expired, and the investigation is deader than your career aspirations. You had 10 whole days, and that was more than enough time for anyone with half a brain cell. But no, you managed to bungle it with your staggering incompetence. You’re off the case, genius. Pack your bags because you’re heading to the Siberian Tundra to investigate illegal snowman construction—sounds right up your alley. Case closed, and so is this chapter of your so-called career._x000a__x000a_========== GAME OVER! =========="/>
    <s v="c4, c10"/>
    <m/>
    <m/>
    <m/>
    <n v="2"/>
    <m/>
    <m/>
    <m/>
    <m/>
    <m/>
    <n v="2"/>
    <m/>
    <n v="2"/>
    <n v="4"/>
    <n v="2"/>
    <n v="100"/>
    <m/>
    <n v="66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7">
  <r>
    <x v="0"/>
    <s v="P1"/>
    <n v="1"/>
    <s v="full_game"/>
    <s v="Full game (expected input)"/>
    <n v="1"/>
    <s v="Visit Louvre"/>
    <s v="Narrator: As you step into the grand entrance of the Louvre Museum, the air is thick with anticipation and the faint scent of history. Your eyes are immediately drawn to an [egyptian exhibit poster] hanging on the wall, its vibrant colors a stark contrast to the surrounding chaos. Moving deeper into the heart of the museum, you notice a [gold-dusted vest] carelessly discarded near a display case, its shimmering flecks catching the dim light. A chill runs down your spine as you reach a balcony, where a single [balcony footprint] in the dust suggests a hasty escape. The trail leads you through a [renovation corridor], its temporary walls echoing with the whispers of secrets hidden within."/>
    <s v="c1, c2, c3"/>
    <n v="2"/>
    <n v="2"/>
    <n v="1"/>
    <m/>
    <m/>
    <m/>
    <m/>
    <m/>
    <m/>
    <m/>
    <m/>
    <n v="3"/>
    <n v="5"/>
    <n v="1.6666666666666667"/>
    <n v="83.333333333333343"/>
    <m/>
    <n v="695"/>
    <n v="0"/>
  </r>
  <r>
    <x v="1"/>
    <s v="P1"/>
    <n v="1"/>
    <s v="full_game"/>
    <s v="Full game (expected input)"/>
    <n v="1"/>
    <s v="Visit Louvre"/>
    <s v="Narrator: As you step into the grand halls of the Louvre Museum, the echoes of the recent heist reverberate through the opulent corridors, each whispering secrets of the stolen crown jewels. Your eyes catch an [egyptian exhibit poster] hanging slightly askew, as if disturbed in haste, hinting at a possible escape route. The glint of a [gold-dusted vest] discarded in a shadowy corner suggests a hasty disguise change by one of the thieves. Moving deeper into the museum, you spot a [balcony footprint] on the dusty marble floor, leading towards an open window, a silent testament to the thief's daring escape. The distant hum of activity draws you to a [renovation corridor], its hidden nooks and crannies perfect for concealing stolen treasures, urging you to delve further into the shadows of this mystery."/>
    <s v="c1, c2, c3"/>
    <n v="2"/>
    <n v="2"/>
    <n v="1"/>
    <m/>
    <m/>
    <m/>
    <m/>
    <m/>
    <m/>
    <m/>
    <m/>
    <n v="3"/>
    <n v="5"/>
    <n v="1.6666666666666667"/>
    <n v="83.333333333333343"/>
    <m/>
    <n v="810"/>
    <n v="0"/>
  </r>
  <r>
    <x v="2"/>
    <s v="P1"/>
    <n v="1"/>
    <s v="full_game"/>
    <s v="Full game (expected input)"/>
    <n v="1"/>
    <s v="Visit Louvre"/>
    <s v="Narrator: Under the dim glow of the Louvre Museum's security lights, you enter the eerily quiet halls, your footsteps echoing off the polished marble floors. The air is thick with the whispers of history, and the weight of the recent heist hangs heavily in the atmosphere. Your eyes are drawn to a vibrant [egyptian exhibit poster] hanging on the wall, its colors vivid against the muted surroundings, a reminder of the chaos that unfolded here. As you navigate through the deserted corridors, you notice a [gold-dusted vest] discarded near a service entrance, hinting at the thieves' clever disguise. The faint outline of a [balcony footprint] catches your eye, a subtle sign of their daring escape route. Turning a corner, you find yourself in a [renovation corridor], the perfect cover for the heist, and you sense you're closing in on the truth, the thrill of the chase igniting your resolve."/>
    <s v="c1, c2, c3"/>
    <n v="2"/>
    <n v="2"/>
    <n v="2"/>
    <m/>
    <m/>
    <m/>
    <m/>
    <m/>
    <m/>
    <m/>
    <m/>
    <n v="3"/>
    <n v="6"/>
    <n v="2"/>
    <n v="100"/>
    <m/>
    <n v="896"/>
    <n v="0"/>
  </r>
  <r>
    <x v="0"/>
    <s v="P1"/>
    <n v="1"/>
    <s v="full_game"/>
    <s v="Full game (expected input)"/>
    <n v="1"/>
    <s v="add clues gold-dusted vest, balcony footprint"/>
    <s v="Boss says: Well, look who finally decided to do their job. Congrats on finding something actually useful. It's almost like you're a real detective now. Keep it up, and you might even surprise me again."/>
    <s v="c1, c2, c3"/>
    <n v="2"/>
    <n v="2"/>
    <n v="1"/>
    <m/>
    <m/>
    <m/>
    <m/>
    <m/>
    <m/>
    <m/>
    <m/>
    <n v="3"/>
    <n v="5"/>
    <n v="1.6666666666666667"/>
    <n v="83.333333333333343"/>
    <m/>
    <n v="201"/>
    <n v="0"/>
  </r>
  <r>
    <x v="1"/>
    <s v="P1"/>
    <n v="1"/>
    <s v="full_game"/>
    <s v="Full game (expected input)"/>
    <n v="1"/>
    <s v="add clues gold-dusted vest, balcony footprint"/>
    <s v="Boss says: Well, look at that—you actually managed to submit something relevant and useful. I was beginning to think you were just here for the coffee. Don't let this newfound competence go to your head; let's see if you can keep it up."/>
    <s v="c1, c2, c3"/>
    <n v="2"/>
    <n v="2"/>
    <n v="2"/>
    <m/>
    <m/>
    <m/>
    <m/>
    <m/>
    <m/>
    <m/>
    <m/>
    <n v="3"/>
    <n v="6"/>
    <n v="2"/>
    <n v="100"/>
    <m/>
    <n v="236"/>
    <n v="0"/>
  </r>
  <r>
    <x v="2"/>
    <s v="P1"/>
    <n v="1"/>
    <s v="full_game"/>
    <s v="Full game (expected input)"/>
    <n v="1"/>
    <s v="add clues gold-dusted vest, balcony footprint"/>
    <s v="Boss says: Well, look who decided to finally do their job correctly—congratulations on submitting valid clues. I was beginning to think you'd need a map to find a clue in the first place. Keep this up, and you might just meet the bare minimum expectations around here."/>
    <s v="c1, c2, c3"/>
    <n v="2"/>
    <n v="2"/>
    <n v="2"/>
    <m/>
    <m/>
    <m/>
    <m/>
    <m/>
    <m/>
    <m/>
    <m/>
    <n v="3"/>
    <n v="6"/>
    <n v="2"/>
    <n v="100"/>
    <m/>
    <n v="268"/>
    <n v="0"/>
  </r>
  <r>
    <x v="0"/>
    <s v="P1"/>
    <n v="1"/>
    <s v="full_game"/>
    <s v="Full game (expected input)"/>
    <n v="1"/>
    <s v="visit cafe de flore"/>
    <s v="Narrator: As you step into the bustling `Café de Flore`, the rich aroma of freshly brewed coffee envelops you, mingling with the chatter of intellectuals and tourists alike. Your eyes are immediately drawn to a table in the corner, where a [cash-stacked table] seems out of place amidst the usual patrons. Nearby, an artist sketches absentmindedly, and you notice a [crown doodle] emerging on his notepad, raising your suspicion. On another table, [philosophy notebooks] are scattered, their pages filled with profound thoughts and cryptic annotations. Among the remnants of hurried conversations, [empty espresso cups] clutter the tabletops, suggesting the recent presence of someone who might hold the key to your investigation."/>
    <s v="c1, c2, c3"/>
    <n v="1"/>
    <n v="1"/>
    <n v="2"/>
    <m/>
    <m/>
    <m/>
    <m/>
    <m/>
    <m/>
    <m/>
    <m/>
    <n v="3"/>
    <n v="4"/>
    <n v="1.3333333333333333"/>
    <n v="66.666666666666657"/>
    <m/>
    <n v="730"/>
    <n v="0"/>
  </r>
  <r>
    <x v="1"/>
    <s v="P1"/>
    <n v="1"/>
    <s v="full_game"/>
    <s v="Full game (expected input)"/>
    <n v="1"/>
    <s v="visit cafe de flore"/>
    <s v="Narrator: The air is thick with the aroma of freshly brewed coffee as you step into Café de Flore, a Parisian haven bustling with chatter and the clinking of porcelain. This spot is known for its intellectual history, a fitting backdrop for those who orchestrated the audacious heist at the Louvre. Your eyes scan the tables, eventually landing on a [cash-stacked table] in the corner, seemingly abandoned yet oddly conspicuous. Nearby, a collection of [philosophy notebooks] lie open, their pages scribbled with musings that could hide a coded message. Among the clutter of the table, you spot an odd [crown doodle] on a napkin, its simplicity betraying a deeper significance. As you ponder these connections over [empty espresso cups], you sense the trail growing warmer, each clue pulling you deeper into the web of intrigue that stretches across Europe."/>
    <s v="c1, c2, c3"/>
    <n v="1"/>
    <n v="1"/>
    <n v="1"/>
    <m/>
    <m/>
    <m/>
    <m/>
    <m/>
    <m/>
    <m/>
    <m/>
    <n v="3"/>
    <n v="3"/>
    <n v="1"/>
    <n v="50"/>
    <m/>
    <n v="857"/>
    <n v="0"/>
  </r>
  <r>
    <x v="2"/>
    <s v="P1"/>
    <n v="1"/>
    <s v="full_game"/>
    <s v="Full game (expected input)"/>
    <n v="1"/>
    <s v="visit cafe de flore"/>
    <s v="Narrator: You step into the bustling atmosphere of Café de Flore, the aroma of freshly brewed coffee mingling with the chatter of patrons. As you scan the room, your eyes catch a glimpse of a [cash-stacked table] in the corner, an unusual sight amidst the usual clientele. You edge closer, noticing a scattered collection of [philosophy notebooks] beside the cash, their pages filled with scribbled musings. On the table, a [crown doodle] is etched hastily onto a napkin, the symbol strikingly familiar from the heist at the Louvre. Nearby, a pair of [empty espresso cups] suggests a hasty departure, leaving you with the feeling that you’re one step behind the elusive thieves."/>
    <s v="c1, c2, c3"/>
    <n v="2"/>
    <n v="2"/>
    <n v="2"/>
    <m/>
    <m/>
    <m/>
    <m/>
    <m/>
    <m/>
    <m/>
    <m/>
    <n v="3"/>
    <n v="6"/>
    <n v="2"/>
    <n v="100"/>
    <m/>
    <n v="678"/>
    <n v="0"/>
  </r>
  <r>
    <x v="0"/>
    <s v="P1"/>
    <n v="1"/>
    <s v="full_game"/>
    <s v="Full game (expected input)"/>
    <n v="1"/>
    <s v="add clues crown doodle, cash-stacked table"/>
    <s v="Boss says: Wow, you actually found something useful. I’m shocked. I guess miracles do happen. Keep up this unexpected competence._x000a__x000a__x000a_Boss says: You’re done with Paris. Finally. Brussels is open. Move it."/>
    <s v="c1, c2, c3"/>
    <n v="2"/>
    <n v="2"/>
    <n v="2"/>
    <m/>
    <m/>
    <m/>
    <m/>
    <m/>
    <m/>
    <m/>
    <m/>
    <n v="3"/>
    <n v="6"/>
    <n v="2"/>
    <n v="100"/>
    <m/>
    <n v="202"/>
    <n v="0"/>
  </r>
  <r>
    <x v="1"/>
    <s v="P1"/>
    <n v="1"/>
    <s v="full_game"/>
    <s v="Full game (expected input)"/>
    <n v="1"/>
    <s v="add clues crown doodle, cash-stacked table"/>
    <s v="Boss says: Well, look who finally decided to join the ranks of the competent. Your submission is actually useful—what a shocker! Maybe next time, we won't need a parade when you get something right. Keep it up, or at least try to._x000a__x000a__x000a_Boss says: Paris is done. Brussels is now unlocked. Stop standing around and get moving. Time is ticking."/>
    <s v="c1, c2, c3"/>
    <n v="2"/>
    <n v="2"/>
    <n v="2"/>
    <m/>
    <m/>
    <m/>
    <m/>
    <m/>
    <m/>
    <m/>
    <m/>
    <n v="3"/>
    <n v="6"/>
    <n v="2"/>
    <n v="100"/>
    <m/>
    <n v="338"/>
    <n v="0"/>
  </r>
  <r>
    <x v="2"/>
    <s v="P1"/>
    <n v="1"/>
    <s v="full_game"/>
    <s v="Full game (expected input)"/>
    <n v="1"/>
    <s v="add clues crown doodle, cash-stacked table"/>
    <s v="Boss says: Well, look at that—you actually managed to submit valid clues. I guess miracles do happen. Don't get too comfortable; this is what you're supposed to be doing. Keep up the bare minimum, will you?_x000a__x000a__x000a_Boss says: Paris is done. Brussels is unlocked. Don’t dawdle—move on. Time’s ticking."/>
    <s v="c1, c2, c3"/>
    <n v="2"/>
    <n v="2"/>
    <n v="2"/>
    <m/>
    <m/>
    <m/>
    <m/>
    <m/>
    <m/>
    <m/>
    <m/>
    <n v="3"/>
    <n v="6"/>
    <n v="2"/>
    <n v="100"/>
    <m/>
    <n v="294"/>
    <n v="0"/>
  </r>
  <r>
    <x v="0"/>
    <s v="P1"/>
    <n v="1"/>
    <s v="full_game"/>
    <s v="Full game (expected input)"/>
    <n v="1"/>
    <s v="Travel to brussels"/>
    <s v="Narrator: As you sip the last of your espresso at the iconic Café de Flore in Paris, the gentle hum of the city wraps around you like a familiar embrace. Today, you embark on a seamless journey northward to the vibrant city of Brussels. With the crisp morning air invigorating your senses, you make your way to the Gare du Nord, where the Thalys train awaits. Your journey unfolds like a well-rehearsed symphony: the train glides effortlessly through the picturesque French countryside, each passing village a fleeting whisper of charm and history. You find your seat by the window, the rhythmic clatter of the tracks providing a soothing backdrop to your thoughts. Luck is on your side, for the journey is smooth and punctual, each connection aligning perfectly as though choreographed by the travel gods themselves._x000a__x000a_As the train crosses into Belgium, the landscape subtly shifts, fields giving way to the gentle undulations of the Flemish countryside. Your fellow travelers, a mosaic of languages and stories, add to the rich tapestry of your adventure. Before you know it, you arrive in Brussels, the city greeting you with its characteristic blend of old-world grandeur and modern vibrancy. The aroma of waffles and chocolate beckons as you step off the train, your journey from the heart of Paris to this new city a testament to your impeccable timing and fortune. Welcome to Brussels, where your next chapter awaits with open arms._x000a__x000a__x000a_Boss says: Listen up! You’ve landed in Brussels. The team didn’t pick these spots for their health! Get to [Grand Place], [Brussels Central Station], [Belgian Comic Strip Center], and [Botanical Garden of Brussels]. Chop chop! No time to waste!"/>
    <s v="c1, c2, c3"/>
    <n v="0"/>
    <n v="1"/>
    <n v="1"/>
    <m/>
    <m/>
    <m/>
    <m/>
    <m/>
    <m/>
    <m/>
    <m/>
    <n v="3"/>
    <n v="2"/>
    <n v="0.66666666666666663"/>
    <n v="33.333333333333329"/>
    <m/>
    <n v="1685"/>
    <n v="1"/>
  </r>
  <r>
    <x v="1"/>
    <s v="P1"/>
    <n v="1"/>
    <s v="full_game"/>
    <s v="Full game (expected input)"/>
    <n v="1"/>
    <s v="Travel to brussels"/>
    <s v="Narrator: Your journey from the artistic heart of Paris, a city that dances between the past and the present with each cobblestone, begins at the iconic Café de Flore. With the aroma of freshly brewed coffee still lingering in your senses, you step onto the train that promises to whisk you away to the vibrant charm of Brussels. The train glides smoothly out of the station, the world outside transforming into a blur of lush countryside and quaint villages._x000a__x000a_But as fate would have it, the universe has decided to play a little game. Your train encounters a series of delays, each more whimsical than the last: a herd of sheep leisurely crossing the tracks, an unscheduled stop at a picturesque town you never knew existed, and a comical mix-up with the luggage that sees your suitcase momentarily join a group of tourists headed in the wrong direction. What should have been a swift journey stretches over three amusing days, each moment an unexpected chapter in your travel saga. Finally, as the sun dips below the horizon, painting the sky in hues of amber and violet, you arrive in Brussels. The city awaits with its twinkling lights and the promise of new discoveries, ready to weave you into its own unique tapestry._x000a__x000a__x000a_Boss says: Agent, welcome to Brussels. The team has narrowed down your next stops. Get to [Grand Place], then make your way to [Brussels Central Station]. Don't dawdle; next up is the [Belgian Comic Strip Center], and wrap it up at the [Botanical Garden of Brussels]. Chop-chop! This investigation won't solve itself."/>
    <s v="c1, c2, c3"/>
    <n v="1"/>
    <n v="2"/>
    <n v="1"/>
    <m/>
    <m/>
    <m/>
    <m/>
    <m/>
    <m/>
    <m/>
    <m/>
    <n v="3"/>
    <n v="4"/>
    <n v="1.3333333333333333"/>
    <n v="66.666666666666657"/>
    <m/>
    <n v="1544"/>
    <n v="0"/>
  </r>
  <r>
    <x v="2"/>
    <s v="P1"/>
    <n v="1"/>
    <s v="full_game"/>
    <s v="Full game (expected input)"/>
    <n v="1"/>
    <s v="Travel to brussels"/>
    <s v="Narrator: As the sun rose over the iconic Parisian skyline, you found yourself bidding adieu to the charming allure of Café de Flore. The journey from Paris to Brussels promised a swift passage, yet the winds of fortune had their own playful agenda. Boarding the sleek train that whisked you through the French countryside, you were lulled by the rhythmic clatter of wheels on tracks. However, as fate would have it, the train decided to adopt a more leisurely pace, turning what was meant to be a quick jaunt into a two-day escapade._x000a__x000a_Your first hint of delay came when a jovial conductor, with an apologetic smile, informed passengers of unexpected track maintenance. Undeterred, you embraced the opportunity to savor the rustic charm of a quaint village stop, where a local market offered a delightful array of cheeses and pastries. As the journey resumed, a minor detour led you through verdant landscapes, each scene more picturesque than the last. Finally, as the train rolled into Brussels, the city welcomed you with its intricate lacework of streets and the promise of new discoveries. This brief interlude, though extended, was a tapestry of unplanned adventures and delightful mishaps, setting the stage for the next chapter of your investigation._x000a__x000a__x000a_Boss says: Agent, welcome to Brussels. The team has boiled it down for you. Get to [Grand Place], [Brussels Central Station], [Belgian Comic Strip Center], and [Botanical Garden of Brussels] pronto. We don't have all day. Move it!"/>
    <s v="c1, c2, c3"/>
    <n v="2"/>
    <n v="2"/>
    <n v="2"/>
    <m/>
    <m/>
    <m/>
    <m/>
    <m/>
    <m/>
    <m/>
    <m/>
    <n v="3"/>
    <n v="6"/>
    <n v="2"/>
    <n v="100"/>
    <m/>
    <n v="1491"/>
    <n v="0"/>
  </r>
  <r>
    <x v="0"/>
    <s v="P1"/>
    <n v="1"/>
    <s v="full_game"/>
    <s v="Full game (expected input)"/>
    <n v="1"/>
    <s v="visit grand place"/>
    <s v="Narrator: As you step into the bustling heart of the Grand Place, the vibrant scene almost distracts you from your mission. However, your keen eye quickly spots [temporary hoarding panels] surrounding one of the guildhalls, hinting at recent construction work that seems oddly timed. You weave through the crowd and find a [dusty jewel bag] tucked discreetly behind one of the panels, its presence confirming your suspicions. Nearby, an [umbrella with monogram] leans against a lamppost, its initials matching those of a known member of the gang. As you gaze upwards, the [guildhall flags] flutter in the wind, casting shadows that seem to point toward the next step in your pursuit."/>
    <s v="c1, c2, c3"/>
    <n v="1"/>
    <n v="2"/>
    <n v="2"/>
    <m/>
    <m/>
    <m/>
    <m/>
    <m/>
    <m/>
    <m/>
    <m/>
    <n v="3"/>
    <n v="5"/>
    <n v="1.6666666666666667"/>
    <n v="83.333333333333343"/>
    <m/>
    <n v="683"/>
    <n v="0"/>
  </r>
  <r>
    <x v="1"/>
    <s v="P1"/>
    <n v="1"/>
    <s v="full_game"/>
    <s v="Full game (expected input)"/>
    <n v="1"/>
    <s v="visit grand place"/>
    <s v="Narrator: As you step into the bustling heart of Grand Place, the cobblestones echo beneath your feet, a stark contrast to the silent corridors of the Louvre that now stand stripped of their treasures. The vibrant flags adorning the guildhalls flutter in the wind, and your eyes catch sight of a [dusty jewel bag] tucked behind a nearby bench, its presence a silent whisper of the heist's aftermath. Your gaze shifts to the [temporary hoarding panels] erected around a construction site, reminiscent of the thieves' clever disguises. A discarded [umbrella with monogram] lies abandoned against a wall, its initials teasing you with the possibility of a lead. With each clue weaving into the fabric of the city, you sense the chase tightening, the path to justice drawing near."/>
    <s v="c1, c2, c3"/>
    <n v="0"/>
    <n v="1"/>
    <n v="1"/>
    <m/>
    <m/>
    <m/>
    <m/>
    <m/>
    <m/>
    <m/>
    <m/>
    <n v="3"/>
    <n v="2"/>
    <n v="0.66666666666666663"/>
    <n v="33.333333333333329"/>
    <m/>
    <n v="776"/>
    <n v="1"/>
  </r>
  <r>
    <x v="2"/>
    <s v="P1"/>
    <n v="1"/>
    <s v="full_game"/>
    <s v="Full game (expected input)"/>
    <n v="1"/>
    <s v="visit grand place"/>
    <s v="Narrator: As you step into the bustling heart of Grand Place, the ornate facades of the guildhalls loom over the square, whispering secrets of old trades and clandestine dealings. The air is charged with the urgency of your mission—tracking the audacious thieves who vanished with the Louvre's crown jewels. Your eyes catch sight of [temporary hoarding panels] haphazardly stacked near a construction site, echoing the gang's deceptive guise. A [dusty jewel bag] lies discarded in the shadow of a grand monument, a grim reminder of what was lost. Glancing up, your gaze fixes on the fluttering [guildhall flags], their vibrant colors a stark contrast to the ominous task at hand. Nearby, an [umbrella with monogram] rests against a café table, its owner nowhere in sight, hinting at a hurried departure. The scene sets your pulse racing, driving you deeper into the tangled web of this high-stakes pursuit."/>
    <s v="c1, c2, c3"/>
    <n v="2"/>
    <n v="2"/>
    <n v="2"/>
    <m/>
    <m/>
    <m/>
    <m/>
    <m/>
    <m/>
    <m/>
    <m/>
    <n v="3"/>
    <n v="6"/>
    <n v="2"/>
    <n v="100"/>
    <m/>
    <n v="906"/>
    <n v="0"/>
  </r>
  <r>
    <x v="0"/>
    <s v="P1"/>
    <n v="1"/>
    <s v="full_game"/>
    <s v="Full game (expected input)"/>
    <n v="1"/>
    <s v="add clues dusty jewel bag, umbrella with monogram"/>
    <s v="Boss says: Oh wow, you found relevant clues. What a revelation! Almost like that's your job or something. Keep this up, and you might actually meet basic expectations."/>
    <s v="c1, c2, c3"/>
    <n v="2"/>
    <n v="2"/>
    <n v="2"/>
    <m/>
    <m/>
    <m/>
    <m/>
    <m/>
    <m/>
    <m/>
    <m/>
    <n v="3"/>
    <n v="6"/>
    <n v="2"/>
    <n v="100"/>
    <m/>
    <n v="167"/>
    <n v="0"/>
  </r>
  <r>
    <x v="1"/>
    <s v="P1"/>
    <n v="1"/>
    <s v="full_game"/>
    <s v="Full game (expected input)"/>
    <n v="1"/>
    <s v="add clues dusty jewel bag, umbrella with monogram"/>
    <s v="Boss says: Well, well, well, look who finally decided to submit something useful. I was beginning to think miracles were a myth. Try to keep this up, and maybe I won't need to buy a new stress ball this week."/>
    <s v="c1, c2, c3"/>
    <n v="2"/>
    <n v="2"/>
    <n v="2"/>
    <m/>
    <m/>
    <m/>
    <m/>
    <m/>
    <m/>
    <m/>
    <m/>
    <n v="3"/>
    <n v="6"/>
    <n v="2"/>
    <n v="100"/>
    <m/>
    <n v="208"/>
    <n v="0"/>
  </r>
  <r>
    <x v="2"/>
    <s v="P1"/>
    <n v="1"/>
    <s v="full_game"/>
    <s v="Full game (expected input)"/>
    <n v="1"/>
    <s v="add clues dusty jewel bag, umbrella with monogram"/>
    <s v="Boss says: Well, well, look who finally managed to submit something that isn't a complete disaster. Congratulations on doing the bare minimum and submitting valid clues for once. Let’s hope this isn't a one-off miracle and you continue to perform at a level that doesn't make me want to tear my hair out."/>
    <s v="c1, c2, c3"/>
    <n v="2"/>
    <n v="2"/>
    <n v="2"/>
    <m/>
    <m/>
    <m/>
    <m/>
    <m/>
    <m/>
    <m/>
    <m/>
    <n v="3"/>
    <n v="6"/>
    <n v="2"/>
    <n v="100"/>
    <m/>
    <n v="304"/>
    <n v="0"/>
  </r>
  <r>
    <x v="0"/>
    <s v="P1"/>
    <n v="1"/>
    <s v="full_game"/>
    <s v="Full game (expected input)"/>
    <n v="1"/>
    <s v="visit central station"/>
    <s v="Narrator: As you step into the bustling heart of Brussels Central Station, the sound of trains rushing past fills your ears. Your eyes scan the crowd, catching sight of a [chocolate kiosk] that seems innocuous at first glance, yet there's an unsettling aura about it. Nearby, you notice a [suspicious backpack] carelessly left on a bench, its contents concealed but potentially significant to your case. Your instincts guide you to a [security camera snapshot] taped to a wall, showing figures hastily making their way through the station. You pause to study the [platform signage], each line a potential trail leading you closer to the elusive criminals who orchestrated the audacious heist."/>
    <s v="c1, c2, c3"/>
    <n v="1"/>
    <n v="2"/>
    <n v="1"/>
    <m/>
    <m/>
    <m/>
    <m/>
    <m/>
    <m/>
    <m/>
    <m/>
    <n v="3"/>
    <n v="4"/>
    <n v="1.3333333333333333"/>
    <n v="66.666666666666657"/>
    <m/>
    <n v="692"/>
    <n v="0"/>
  </r>
  <r>
    <x v="1"/>
    <s v="P1"/>
    <n v="1"/>
    <s v="full_game"/>
    <s v="Full game (expected input)"/>
    <n v="1"/>
    <s v="visit central station"/>
    <s v="Narrator: The bustling atmosphere of Brussels Central Station envelops you as you step onto the platform, the echoes of your mission at the Louvre still resonating in your mind. You're here to trace the elusive gang of thieves, their trail as cold as the marble floors beneath your feet. Your eyes catch a [chocolate kiosk] nearby, its sweet wares a stark contrast to the bitter chase you're on. A [suspicious backpack] slung carelessly on a bench draws your attention, its contents potentially holding secrets of the heist. You glance at the [security camera snapshot] in your hand, trying to match the grainy figures with the passersby. As you move towards the [platform signage], the weight of the investigation presses upon you, each step echoing with the urgency to uncover the truth."/>
    <s v="c1, c2, c3"/>
    <n v="2"/>
    <n v="2"/>
    <n v="2"/>
    <m/>
    <m/>
    <m/>
    <m/>
    <m/>
    <m/>
    <m/>
    <m/>
    <n v="3"/>
    <n v="6"/>
    <n v="2"/>
    <n v="100"/>
    <m/>
    <n v="789"/>
    <n v="0"/>
  </r>
  <r>
    <x v="2"/>
    <s v="P1"/>
    <n v="1"/>
    <s v="full_game"/>
    <s v="Full game (expected input)"/>
    <n v="1"/>
    <s v="visit central station"/>
    <s v="Narrator: As you step into the bustling confines of Brussels Central Station, the air is thick with the aroma of freshly brewed coffee and the chatter of travelers. The case of the Louvre heist still fresh in your mind, you scan the scene for any hint of the elusive gang. Your attention is drawn to a [chocolate kiosk], where the vendor's nervous glances suggest something more than just a sweet tooth. Nearby, a [suspicious backpack] rests unattended on a bench, its bulging contents a potential link in the chain of events. You make your way to the security office, where a [security camera snapshot] awaits, capturing a fleeting image of a known associate of the thieves. The [platform signage] above you flickers, announcing the next train to Paris, and with it, the possibility of closing in on your quarry."/>
    <s v="c1, c2, c3"/>
    <n v="2"/>
    <n v="2"/>
    <n v="2"/>
    <m/>
    <m/>
    <m/>
    <m/>
    <m/>
    <m/>
    <m/>
    <m/>
    <n v="3"/>
    <n v="6"/>
    <n v="2"/>
    <n v="100"/>
    <m/>
    <n v="813"/>
    <n v="0"/>
  </r>
  <r>
    <x v="0"/>
    <s v="P1"/>
    <n v="1"/>
    <s v="full_game"/>
    <s v="Full game (expected input)"/>
    <n v="1"/>
    <s v="add clues suspicious backpack, security camera snapshot"/>
    <s v="Boss says: Oh look, you actually found relevant clues. I’m shocked, truly. It’s almost like you’re doing the job you’re paid for. Keep this up and we might actually solve a case._x000a__x000a__x000a_Boss says: You’re done in Brussels. Amsterdam’s waiting. Get moving. Don’t waste time."/>
    <s v="c1, c2, c3"/>
    <n v="2"/>
    <n v="2"/>
    <n v="2"/>
    <m/>
    <m/>
    <m/>
    <m/>
    <m/>
    <m/>
    <m/>
    <m/>
    <n v="3"/>
    <n v="6"/>
    <n v="2"/>
    <n v="100"/>
    <m/>
    <n v="267"/>
    <n v="0"/>
  </r>
  <r>
    <x v="1"/>
    <s v="P1"/>
    <n v="1"/>
    <s v="full_game"/>
    <s v="Full game (expected input)"/>
    <n v="1"/>
    <s v="add clues suspicious backpack, security camera snapshot"/>
    <s v="Boss says: Well, look who finally decided to submit something useful. Congratulations, you’ve reached the baseline of not being completely useless. Don’t get too comfortable with the pat on the back; I expect this level of competence more than once in a blue moon._x000a__x000a__x000a_Boss says: Brussels is done. Amsterdam is unlocked and waiting. Don't dawdle—get moving. Time is ticking."/>
    <s v="c1, c2, c3"/>
    <n v="2"/>
    <n v="2"/>
    <n v="1"/>
    <m/>
    <m/>
    <m/>
    <m/>
    <m/>
    <m/>
    <m/>
    <m/>
    <n v="3"/>
    <n v="5"/>
    <n v="1.6666666666666667"/>
    <n v="83.333333333333343"/>
    <m/>
    <n v="372"/>
    <n v="0"/>
  </r>
  <r>
    <x v="2"/>
    <s v="P1"/>
    <n v="1"/>
    <s v="full_game"/>
    <s v="Full game (expected input)"/>
    <n v="1"/>
    <s v="add clues suspicious backpack, security camera snapshot"/>
    <s v="Boss says: Well, well, look who finally decided to submit something useful. It only took how long? A miracle, really. Keep up this level of competence, and maybe, just maybe, we'll solve a case before the century is out._x000a__x000a__x000a_Boss says: Brussels is done. Amsterdam's unlocked. Move it. Get going."/>
    <s v="c1, c2, c3"/>
    <n v="2"/>
    <n v="2"/>
    <n v="2"/>
    <m/>
    <m/>
    <m/>
    <m/>
    <m/>
    <m/>
    <m/>
    <m/>
    <n v="3"/>
    <n v="6"/>
    <n v="2"/>
    <n v="100"/>
    <m/>
    <n v="293"/>
    <n v="0"/>
  </r>
  <r>
    <x v="0"/>
    <s v="P1"/>
    <n v="1"/>
    <s v="full_game"/>
    <s v="Full game (expected input)"/>
    <n v="1"/>
    <s v="Travel to amsterdam"/>
    <s v="Narrator: Ah, brave traveler, your journey from the bustling heart of Brussels, at the iconic Brussels Central Station, to the charming canals of Amsterdam is set to be an adventure of both delight and patience. You set off with the excitement of a swift train ride ahead, a mere day’s journey through the picturesque landscapes of Belgium and the Netherlands. However, the travel gods have decided to sprinkle a bit of mischief along your path. As your train gently glides out of Brussels, a whimsical announcement crackles through the speakers: a delightful, yet unplanned, delay of two days due to a most unusual occurrence—a parade of cows has decided to take a leisurely stroll across the tracks near Antwerp, their bovine curiosity piqued by the rumble of passing locomotives._x000a__x000a_Not one to be deterred, you embrace this unexpected turn with good humor. You find yourself an impromptu guest in Antwerp, where you explore cobblestone streets and savor the local chocolates, while the cows, having concluded their promenade, allow the journey to resume. As you finally cross the Dutch border, the train conductor, with a wink, assures you that these delays are but tales to share over a warm drink in an Amsterdam café. And so, with a story to tell and a smile on your face, you arrive in Amsterdam, two days later than planned but richer for the experience._x000a__x000a__x000a_Boss says: Agent, you're in Amsterdam. Focus! The team has boiled it down for you. Hit [Dam Square], then move to [Anne Frank House]. Don't dawdle! Next, check out [Canal-side Café]—no coffee breaks! Finally, get to [Vondelpark]. Get it done, and don't waste time!"/>
    <s v="c1, c2, c3"/>
    <n v="2"/>
    <n v="2"/>
    <n v="2"/>
    <m/>
    <m/>
    <m/>
    <m/>
    <m/>
    <m/>
    <m/>
    <m/>
    <n v="3"/>
    <n v="6"/>
    <n v="2"/>
    <n v="100"/>
    <m/>
    <n v="1627"/>
    <n v="0"/>
  </r>
  <r>
    <x v="1"/>
    <s v="P1"/>
    <n v="1"/>
    <s v="full_game"/>
    <s v="Full game (expected input)"/>
    <n v="1"/>
    <s v="Travel to amsterdam"/>
    <s v="Narrator: As you depart from the bustling heart of Brussels, the iconic Brussels Central Station, the train hums beneath your feet, whisking you towards the vibrant allure of Amsterdam. The journey begins with the gentle sway of the carriage, the rhythmic clatter of wheels on tracks a comforting backdrop as Belgium’s lush countryside unfurls outside your window. But ah, the gods of travel have a mischievous glint in their eye today! Just as you settle into the tranquil rhythm, a sudden announcement crackles through the intercom: a flock of wayward geese has chosen the tracks for an impromptu picnic, resulting in a delay. _x000a__x000a_Undeterred, you embrace this unexpected pause with a sense of humor, indulging in a steaming cup of Belgian hot chocolate from the train’s café. Hours stretch languidly, as the delay morphs into a comedic saga of track-switching shenanigans and missing conductors. By the time you cross into the Netherlands, the sun has dipped into the horizon, painting the sky in shades of amber and rose. Finally, after a journey that has sprawled over five unplanned days filled with amusing anecdotes and newfound patience, the train pulls into the bustling embrace of Amsterdam. The city’s canals glisten under the moonlit sky, welcoming you with open arms and the promise of new adventures to come._x000a__x000a__x000a_Boss says: Welcome to Amsterdam, agent. The team has narrowed down your next stops to these crucial spots: [Dam Square], [Anne Frank House], [Canal-side Café], and [Vondelpark]. Get moving, time's ticking, and this investigation won't solve itself. I expect results."/>
    <s v="c1, c2, c3"/>
    <n v="2"/>
    <n v="1"/>
    <n v="1"/>
    <m/>
    <m/>
    <m/>
    <m/>
    <m/>
    <m/>
    <m/>
    <m/>
    <n v="3"/>
    <n v="4"/>
    <n v="1.3333333333333333"/>
    <n v="66.666666666666657"/>
    <m/>
    <n v="1589"/>
    <n v="0"/>
  </r>
  <r>
    <x v="2"/>
    <s v="P1"/>
    <n v="1"/>
    <s v="full_game"/>
    <s v="Full game (expected input)"/>
    <n v="1"/>
    <s v="Travel to amsterdam"/>
    <s v="Narrator: As you step out of Brussels Central Station, the bustling heart of Brussels, the air is filled with the promise of a new adventure. The journey to Amsterdam, a city of canals and cobblestones, awaits you with open arms. You board the sleek Thalys train, its polished exterior gleaming like a red arrow poised to fly. But as the train glides smoothly out of the station, a comedic dance of misfortune begins. A sudden announcement crackles over the intercom: a herd of sheep has wandered onto the tracks near Antwerp. The train halts, and you find yourself peering out at the pastoral scene, a gentle reminder of the countryside's unpredictable charm._x000a__x000a_Hours stretch into an unexpected overnight stay, the sheep stubbornly holding court. Yet, this delay gifts you a serendipitous exploration of Antwerp's quaint streets by moonlight. As dawn breaks, the tracks clear, and you’re once again en route, the train humming a steady rhythm. You arrive in Amsterdam a little later than planned, but the city's vibrant energy quickly envelops you. The delay may have added two days to your journey, but it also added stories worth telling, a whimsical prelude to your investigation in the heart of the Netherlands._x000a__x000a__x000a_Boss says: Welcome to Amsterdam, agent. Our team has boiled down your next stops. Visit [Dam Square], [Anne Frank House], [Canal-side Café], and [Vondelpark]. Move it! The clock's ticking, and this investigation isn't waiting for you. Get to it."/>
    <s v="c1, c2, c3"/>
    <n v="1"/>
    <n v="2"/>
    <n v="2"/>
    <m/>
    <m/>
    <m/>
    <m/>
    <m/>
    <m/>
    <m/>
    <m/>
    <n v="3"/>
    <n v="5"/>
    <n v="1.6666666666666667"/>
    <n v="83.333333333333343"/>
    <s v="verbose"/>
    <n v="1463"/>
    <n v="0"/>
  </r>
  <r>
    <x v="0"/>
    <s v="P1"/>
    <n v="1"/>
    <s v="full_game"/>
    <s v="Full game (expected input)"/>
    <n v="1"/>
    <s v="visit dam square"/>
    <s v="Narrator: As you step into the bustling heart of Dam Square, the vibrant energy of Amsterdam envelops you. Your eyes scan the area, quickly catching sight of [portable barricade stacks] near the edge of the square, remnants of a recent event that might have been used by the thieves to conceal their escape. The ground is littered with [chalk-marked paving], cryptic symbols hinting at a covert path through the city. Your attention is drawn to the tangled [event power cables], snaking along the cobblestones, possibly used to disable security systems during the heist. Nearby, the chatter of [souvenir vendors] fills the air, their stalls brimming with trinkets that could easily hide a secret message or clue. As you move through the square, every detail seems to pull you deeper into the mystery."/>
    <s v="c1, c2, c3"/>
    <n v="2"/>
    <n v="2"/>
    <n v="1"/>
    <m/>
    <m/>
    <m/>
    <m/>
    <m/>
    <m/>
    <m/>
    <m/>
    <n v="3"/>
    <n v="5"/>
    <n v="1.6666666666666667"/>
    <n v="83.333333333333343"/>
    <m/>
    <n v="800"/>
    <n v="0"/>
  </r>
  <r>
    <x v="1"/>
    <s v="P1"/>
    <n v="1"/>
    <s v="full_game"/>
    <s v="Full game (expected input)"/>
    <n v="1"/>
    <s v="visit dam square"/>
    <s v="Narrator: As you step into the bustling heart of Amsterdam's Dam Square, the echoes of the Louvre heist resonate in your mind. Your eyes dart across the lively scene, searching for any sign of the thieves' trail. Among the throngs of tourists, you notice [portable barricade stacks] arranged inconspicuously along the edges of the square, reminiscent of the construction site ruse used in Paris. Your gaze follows the [chalk-marked paving], a subtle breadcrumb perhaps left by the criminals to guide their escape. Power hums through the [event power cables] snaking beneath your feet, suggesting a recent gathering, or perhaps, a cover for illicit activities. As you approach the [souvenir vendors], their chatter seems to carry whispers of secrets, drawing you closer to the truth."/>
    <s v="c1, c2, c3"/>
    <n v="2"/>
    <n v="2"/>
    <n v="2"/>
    <m/>
    <m/>
    <m/>
    <m/>
    <m/>
    <m/>
    <m/>
    <m/>
    <n v="3"/>
    <n v="6"/>
    <n v="2"/>
    <n v="100"/>
    <s v="connected with a previous scenario."/>
    <n v="782"/>
    <n v="0"/>
  </r>
  <r>
    <x v="2"/>
    <s v="P1"/>
    <n v="1"/>
    <s v="full_game"/>
    <s v="Full game (expected input)"/>
    <n v="1"/>
    <s v="visit dam square"/>
    <s v="Narrator: As you step into the bustling heart of Dam Square, the air is thick with the chatter of tourists and the distant echo of street performers. The infamous heist at the Louvre still fresh in your mind, you scan the surroundings, keenly aware that the trail of the thieves might lead you here. Your eyes catch on [portable barricade stacks] lining the edges of an area marked for an upcoming event, a possible hideout or distraction used by the cunning gang. The cobblestones beneath your feet reveal [chalk-marked paving], hinting at a cryptic path or message left behind. Nearby, [event power cables] snake across the square, possibly powering more than just innocent festivities. Amidst the crowd, [souvenir vendors] peddle their wares, their presence a reminder of the constant movement and disguise, much like the thieves themselves. With every step, the pieces of this European puzzle grow clearer, yet the picture remains just out of reach."/>
    <s v="c1, c2, c3"/>
    <n v="2"/>
    <n v="2"/>
    <n v="2"/>
    <m/>
    <m/>
    <m/>
    <m/>
    <m/>
    <m/>
    <m/>
    <m/>
    <n v="3"/>
    <n v="6"/>
    <n v="2"/>
    <n v="100"/>
    <s v="more like a storytelling"/>
    <n v="953"/>
    <n v="0"/>
  </r>
  <r>
    <x v="0"/>
    <s v="P1"/>
    <n v="1"/>
    <s v="full_game"/>
    <s v="Full game (expected input)"/>
    <n v="1"/>
    <s v="add clues portable barricade stacks, chalk-marked paving"/>
    <s v="Boss says: Wow, you found relevant clues. Gold star for doing your job! Maybe next time, we'll even get a parade. Keep up the bare minimum!"/>
    <s v="c1, c2, c3"/>
    <n v="2"/>
    <n v="2"/>
    <n v="2"/>
    <m/>
    <m/>
    <m/>
    <m/>
    <m/>
    <m/>
    <m/>
    <m/>
    <n v="3"/>
    <n v="6"/>
    <n v="2"/>
    <n v="100"/>
    <m/>
    <n v="139"/>
    <n v="0"/>
  </r>
  <r>
    <x v="1"/>
    <s v="P1"/>
    <n v="1"/>
    <s v="full_game"/>
    <s v="Full game (expected input)"/>
    <n v="1"/>
    <s v="add clues portable barricade stacks, chalk-marked paving"/>
    <s v="Boss says: Well, look at that, you actually submitted something useful for once. I guess miracles do happen. Keep this up, and maybe one day, you'll reach the dizzying heights of basic competence."/>
    <s v="c1, c2, c3"/>
    <n v="2"/>
    <n v="2"/>
    <n v="2"/>
    <m/>
    <m/>
    <m/>
    <m/>
    <m/>
    <m/>
    <m/>
    <m/>
    <n v="3"/>
    <n v="6"/>
    <n v="2"/>
    <n v="100"/>
    <m/>
    <n v="196"/>
    <n v="0"/>
  </r>
  <r>
    <x v="2"/>
    <s v="P1"/>
    <n v="1"/>
    <s v="full_game"/>
    <s v="Full game (expected input)"/>
    <n v="1"/>
    <s v="add clues portable barricade stacks, chalk-marked paving"/>
    <s v="node_outboundaries/start"/>
    <s v="c1, c2, c3"/>
    <n v="0"/>
    <n v="0"/>
    <n v="0"/>
    <m/>
    <m/>
    <m/>
    <m/>
    <m/>
    <m/>
    <m/>
    <m/>
    <n v="3"/>
    <n v="0"/>
    <n v="0"/>
    <n v="0"/>
    <s v="first attempt, routed to `outboundary`"/>
    <n v="24"/>
    <n v="1"/>
  </r>
  <r>
    <x v="2"/>
    <s v="P1"/>
    <n v="1"/>
    <s v="full_game"/>
    <s v="Full game (expected input)"/>
    <n v="2"/>
    <s v="add clues portable barricade stacks, chalk-marked paving"/>
    <s v="Boss says: Well, look at that, you finally managed to submit something valid. I suppose even a broken clock is right twice a day. Let's see if you can make this a habit, shall we"/>
    <s v="c1, c2, c3"/>
    <n v="2"/>
    <n v="1"/>
    <n v="2"/>
    <m/>
    <m/>
    <m/>
    <m/>
    <m/>
    <m/>
    <m/>
    <m/>
    <n v="3"/>
    <n v="5"/>
    <n v="1.6666666666666667"/>
    <n v="83.333333333333343"/>
    <m/>
    <n v="178"/>
    <n v="0"/>
  </r>
  <r>
    <x v="0"/>
    <s v="P1"/>
    <n v="1"/>
    <s v="full_game"/>
    <s v="Full game (expected input)"/>
    <n v="1"/>
    <s v="visit anne frank house"/>
    <s v="Narrator: You step into the historic Anne Frank House, the air thick with the whispers of the past. As you navigate through the narrow corridors, your eyes catch a glint of something unusual: a [non-public access tag] tucked beneath a dusty corner of the staircase. Your instincts kick in, urging you to inspect further, and you notice the [recently reinforced stair] under your feet, a curious anomaly in such an aged structure. Nearby, a [small key] lies hidden behind a loose brick, its purpose a mystery that begs to be solved. Just as you pocket the key, a group of [museum volunteers] passes by, their chatter hinting at odd occurrences in the area, fueling your determination to unravel the secrets left behind by the cunning thieves."/>
    <s v="c1, c2, c3"/>
    <n v="1"/>
    <n v="1"/>
    <n v="1"/>
    <m/>
    <m/>
    <m/>
    <m/>
    <m/>
    <m/>
    <m/>
    <m/>
    <n v="3"/>
    <n v="3"/>
    <n v="1"/>
    <n v="50"/>
    <m/>
    <n v="741"/>
    <n v="0"/>
  </r>
  <r>
    <x v="1"/>
    <s v="P1"/>
    <n v="1"/>
    <s v="full_game"/>
    <s v="Full game (expected input)"/>
    <n v="1"/>
    <s v="visit anne frank house"/>
    <s v="Narrator: The air is heavy with history as you step into the hallowed halls of the Anne Frank House, a stark contrast to the chaos of the recent Louvre heist. You make your way through the narrow corridors, eyes scanning for any sign of the thieves' trail. A [non-public access tag] catches your attention, partially hidden beneath a loose floorboard, a potential lead pointing to unauthorized movement. As you ascend a [recently reinforced stair], it creaks underfoot, suggesting recent repairs that don't quite fit with the preserved nature of the building. In a dimly lit corner, you find a [small key], its purpose yet unknown, but its significance undeniable. A conversation with [museum volunteers] reveals an unusual interest in these repairs from an unfamiliar group, heightening the tension in your pursuit of justice."/>
    <s v="c1, c2, c3"/>
    <n v="2"/>
    <n v="2"/>
    <n v="2"/>
    <m/>
    <m/>
    <m/>
    <m/>
    <m/>
    <m/>
    <m/>
    <m/>
    <n v="3"/>
    <n v="6"/>
    <n v="2"/>
    <n v="100"/>
    <m/>
    <n v="827"/>
    <n v="0"/>
  </r>
  <r>
    <x v="2"/>
    <s v="P1"/>
    <n v="1"/>
    <s v="full_game"/>
    <s v="Full game (expected input)"/>
    <n v="1"/>
    <s v="visit anne frank house"/>
    <s v="Narrator: As you step into the Anne Frank House, the air is thick with the weight of history, yet your mind is focused on the present case. The chatter of tourists fades as you notice a [non-public access tag] tucked discreetly into the pocket of a museum volunteer's uniform. Your footsteps echo against the [recently reinforced stair], a curious detail in such a historic setting. In a quiet corner, you find a [small key] hidden beneath a loose floorboard, its presence whispering secrets of clandestine meetings. The volunteers, usually so attentive, seem distracted, perhaps aware of something more than they let on. Your heart races with the realization that each clue brings you closer to unraveling the mystery of the Louvre heist."/>
    <s v="c1, c2, c3"/>
    <n v="2"/>
    <n v="2"/>
    <n v="2"/>
    <m/>
    <m/>
    <m/>
    <m/>
    <m/>
    <m/>
    <m/>
    <m/>
    <n v="3"/>
    <n v="6"/>
    <n v="2"/>
    <n v="100"/>
    <m/>
    <n v="739"/>
    <n v="0"/>
  </r>
  <r>
    <x v="0"/>
    <s v="P1"/>
    <n v="1"/>
    <s v="full_game"/>
    <s v="Full game (expected input)"/>
    <n v="1"/>
    <s v="add clues non-public acess tag, small key"/>
    <s v="Boss says: Well, color me shocked! You actually found relevant clues. I almost forgot that's what you're paid for. Keep it up, Sherlock._x000a__x000a__x000a_Boss says: You’re done in Amsterdam. Berlin’s open. Get moving. Don’t waste time."/>
    <s v="c1, c2, c3"/>
    <n v="2"/>
    <n v="2"/>
    <n v="2"/>
    <m/>
    <m/>
    <m/>
    <m/>
    <m/>
    <m/>
    <m/>
    <m/>
    <n v="3"/>
    <n v="6"/>
    <n v="2"/>
    <n v="100"/>
    <m/>
    <n v="220"/>
    <n v="0"/>
  </r>
  <r>
    <x v="1"/>
    <s v="P1"/>
    <n v="1"/>
    <s v="full_game"/>
    <s v="Full game (expected input)"/>
    <n v="1"/>
    <s v="add clues non-public acess tag, small key"/>
    <s v="Boss says: Well, well, well, it seems you finally managed to submit something useful. I was beginning to wonder if you knew what a relevant clue looked like. Let's hope this isn't a fluke and you keep up this sudden display of competence._x000a__x000a__x000a_Boss says: Amsterdam's done. Berlin's unlocked and waiting. Don't dawdle—move on now. Get to it!"/>
    <s v="c1, c2, c3"/>
    <n v="2"/>
    <n v="2"/>
    <n v="2"/>
    <m/>
    <m/>
    <m/>
    <m/>
    <m/>
    <m/>
    <m/>
    <m/>
    <n v="3"/>
    <n v="6"/>
    <n v="2"/>
    <n v="100"/>
    <m/>
    <n v="337"/>
    <n v="0"/>
  </r>
  <r>
    <x v="2"/>
    <s v="P1"/>
    <n v="1"/>
    <s v="full_game"/>
    <s v="Full game (expected input)"/>
    <n v="1"/>
    <s v="add clues non-public acess tag, small key"/>
    <s v="Boss says: Well, well, look who finally managed to submit something valid. I suppose even a broken clock is right twice a day. Keep it up—maybe one day you’ll hit competence on purpose._x000a__x000a__x000a_Boss says: Amsterdam's done. Berlin's unlocked. Move it. Time's ticking."/>
    <s v="c1, c2, c3"/>
    <n v="2"/>
    <n v="2"/>
    <n v="1"/>
    <m/>
    <m/>
    <m/>
    <m/>
    <m/>
    <m/>
    <m/>
    <m/>
    <n v="3"/>
    <n v="5"/>
    <n v="1.6666666666666667"/>
    <n v="83.333333333333343"/>
    <m/>
    <n v="260"/>
    <n v="0"/>
  </r>
  <r>
    <x v="0"/>
    <s v="P1"/>
    <n v="1"/>
    <s v="full_game"/>
    <s v="Full game (expected input)"/>
    <n v="1"/>
    <s v="Travel to berlin"/>
    <s v="Narrator: As you bid farewell to the picturesque canals and the poignant history of Amsterdam's Anne Frank House, you set your sights on the vibrant city of Berlin. Your journey is supposed to be a swift one-day affair, but, oh, how the travel gods love to play their little tricks! First, there was the unexpected delay at the Amsterdam train station due to a surprise inspection—apparently, a rogue artist decided the train was the perfect canvas for their next masterpiece. Then, as your train finally chugged along the verdant Dutch landscapes, a sudden announcement: a herd of sheep had taken an impromptu nap on the tracks, adding an extra hour to your journey._x000a__x000a_Undeterred, you finally cross the border into Germany, only to find that your connecting train to Berlin has been temporarily rerouted due to a local festival involving, of all things, competitive sausage grilling. The aroma was tantalizing, but time was not on your side. After a series of entertaining yet time-consuming detours, including a bus ride with a driver who insisted on sharing his entire collection of Bavarian polka music, you finally arrive in Berlin, four days later than planned. Exhausted but amused by the unexpected adventure, you step onto the streets of Berlin, ready to embrace the city's rich history and vibrant culture._x000a__x000a__x000a_Boss says: Agent, you finally made it to Berlin. Congrats. Now, quit sightseeing and get to work! The team has boiled down the list for you. Visit [Brandenburg Gate], [Museum Island], [Alexanderplatz], and [Tiergarten]. Chop-chop! We don’t have all day!"/>
    <s v="c1, c2, c3"/>
    <n v="2"/>
    <n v="2"/>
    <n v="2"/>
    <m/>
    <m/>
    <m/>
    <m/>
    <m/>
    <m/>
    <m/>
    <m/>
    <n v="3"/>
    <n v="6"/>
    <n v="2"/>
    <n v="100"/>
    <m/>
    <n v="1571"/>
    <n v="0"/>
  </r>
  <r>
    <x v="1"/>
    <s v="P1"/>
    <n v="1"/>
    <s v="full_game"/>
    <s v="Full game (expected input)"/>
    <n v="1"/>
    <s v="Travel to berlin"/>
    <s v="Narrator: Ah, Agent, your journey begins in the cobblestone heart of Amsterdam, right outside the historic echo of the Anne Frank House. The canals bid you farewell as you board a train bound for Berlin, a city humming with the weight of history and the pulse of modernity. But as the train pulls away, the specter of mischief seems to hitch a ride. Just as you settle in, the conductor announces a temporary halt due to sheep on the tracks—a peculiar Dutch farewell, perhaps. _x000a__x000a_The train eventually resumes its rhythm, only to be slowed again by a surprise burst of summer rain, delaying your crossing into Germany by hours that stretch like taffy. You make the most of these hours, sipping coffee and sharing stories with fellow passengers, each one a character in this travel tapestry. As the landscape blurs from tulip fields to industrial vistas, a final hiccup—a misdirected luggage fiasco—adds to the comedic delay. Finally, after a journey that dances on the edge of the absurd, Berlin greets you with open arms and a sky painted with the warm hues of dusk. Welcome to Berlin, where your investigation can now unfold amidst the city's vibrant soul._x000a__x000a__x000a_Boss says: Agent, welcome to Berlin. The team’s boiled it down to the essentials. Get to [Brandenburg Gate], [Museum Island], [Alexanderplatz], and [Tiergarten]. Move it! We don’t have all day. Get this investigation rolling now!"/>
    <s v="c1, c2, c3"/>
    <n v="2"/>
    <n v="2"/>
    <n v="2"/>
    <m/>
    <m/>
    <m/>
    <m/>
    <m/>
    <m/>
    <m/>
    <m/>
    <n v="3"/>
    <n v="6"/>
    <n v="2"/>
    <n v="100"/>
    <m/>
    <n v="1388"/>
    <n v="0"/>
  </r>
  <r>
    <x v="2"/>
    <s v="P1"/>
    <n v="1"/>
    <s v="full_game"/>
    <s v="Full game (expected input)"/>
    <n v="1"/>
    <s v="Travel to berlin"/>
    <s v="Narrator: As the sun peeks over the canal-laced cityscape of Amsterdam, you embark on your journey from the poignant shadows of the Anne Frank House, ready to unravel the mysteries awaiting in Berlin. Your path is meant to be a swift one-day traverse, a seamless glide across borders. Yet, the fates have a penchant for humor, and as you board the sleek train weaving its way through the Dutch countryside, a series of amusing misadventures unfold. The train pauses unexpectedly in a quaint town, the cause? A family of ducks leisurely crossing the tracks, their waddling an unhurried display of defiance against your timetable. _x000a__x000a_Later, a brief layover in a bustling German station turns into an impromptu hunt for misplaced luggage, your suitcase having taken a mischievous detour on a different train. These whimsical delays stretch your journey into an odyssey of five days, each moment adding a page to your travel tale. Finally, as you roll into the vibrant heart of Berlin, the city greets you with a patchwork of history and modernity, the perfect backdrop for the next chapter of your investigation. Here, amidst the echoes of the past and the pulse of the present, your adventure continues._x000a__x000a__x000a_Boss says: Welcome to Berlin, agent. The team has painstakingly narrowed down your next stops. Hit [Brandenburg Gate], then [Museum Island], move on to [Alexanderplatz], and finish at [Tiergarten]. Don't dawdle—this isn't a vacation. Get it done, and report back."/>
    <s v="c1, c2, c3"/>
    <n v="1"/>
    <n v="2"/>
    <n v="1"/>
    <m/>
    <m/>
    <m/>
    <m/>
    <m/>
    <m/>
    <m/>
    <m/>
    <n v="3"/>
    <n v="4"/>
    <n v="1.3333333333333333"/>
    <n v="66.666666666666657"/>
    <s v="too strict -&gt; gives the ordered locations as instructions"/>
    <n v="1466"/>
    <n v="0"/>
  </r>
  <r>
    <x v="0"/>
    <s v="P1"/>
    <n v="1"/>
    <s v="full_game"/>
    <s v="Full game (expected input)"/>
    <n v="1"/>
    <s v="visit brandenburg gate"/>
    <s v="Narrator: As you approach the iconic Brandenburg Gate, the evening sun casts long shadows across the cobblestone plaza. The air is filled with the murmur of tourists, and you notice a group huddled together, listening intently through their [tour group headsets]. Your keen eye catches a glimpse of something unusual on the ground—a piece of [load-rated paving mats] that seems out of place in this historic setting. Nearby, a [silk scarf] flutters from a low-hanging branch, its vibrant colors stark against the backdrop of neoclassical architecture. As you carefully examine the area, your attention is drawn to a set of [temporary access bollards], strategically placed, hinting at recent unauthorized activity. Each clue reinforces the trail you are following, bringing you one step closer to unraveling the mystery behind the audacious heist."/>
    <s v="c1, c2, c3"/>
    <n v="2"/>
    <n v="2"/>
    <n v="2"/>
    <m/>
    <m/>
    <m/>
    <m/>
    <m/>
    <m/>
    <m/>
    <m/>
    <n v="3"/>
    <n v="6"/>
    <n v="2"/>
    <n v="100"/>
    <m/>
    <n v="847"/>
    <n v="0"/>
  </r>
  <r>
    <x v="1"/>
    <s v="P1"/>
    <n v="1"/>
    <s v="full_game"/>
    <s v="Full game (expected input)"/>
    <n v="1"/>
    <s v="visit brandenburg gate"/>
    <s v="Narrator: The grandeur of the Brandenburg Gate looms before you, its historical weight a fitting backdrop for the urgency of your mission. As you scan the bustling square, your eyes catch the subtle markings of [load-rated paving mats] beneath your feet, a possible link to the construction ruse used in the Louvre heist. Nearby, a group of tourists gathers, their [tour group headsets] buzzing with the voice of a guide, a reminder of how easily one can blend into the crowd. Your attention shifts to a discarded [silk scarf], its delicate fabric out of place against the harsh cobblestones, perhaps dropped by someone fleeing in haste. A few steps away, the [temporary access bollards] stand as silent sentinels, hinting at a recent, unauthorized passage. Each clue deepens the puzzle, drawing you further into the web spun by the elusive thieves."/>
    <s v="c1, c2, c3"/>
    <n v="2"/>
    <n v="2"/>
    <n v="1"/>
    <m/>
    <m/>
    <m/>
    <m/>
    <m/>
    <m/>
    <m/>
    <m/>
    <n v="3"/>
    <n v="5"/>
    <n v="1.6666666666666667"/>
    <n v="83.333333333333343"/>
    <m/>
    <n v="849"/>
    <n v="0"/>
  </r>
  <r>
    <x v="2"/>
    <s v="P1"/>
    <n v="1"/>
    <s v="full_game"/>
    <s v="Full game (expected input)"/>
    <n v="1"/>
    <s v="visit brandenburg gate"/>
    <s v="Narrator: As you stand before the majestic Brandenburg Gate, the echoes of history whispering through its arches, you can't help but feel the weight of your mission. The cobblestone path beneath your feet feels oddly familiar, and then you notice [load-rated paving mats] carefully placed nearby, perhaps to support heavy equipment used by the elusive gang. Your eyes scan the bustling square, catching sight of [temporary access bollards] that could have been easily manipulated by the skilled thieves to facilitate a swift escape. Among the throngs of tourists, a [silk scarf] flutters to the ground, its opulence reminiscent of the treasures stolen from the Louvre. You tune into the chatter around you, realizing that the [tour group headsets] could be a perfect cover for discreet communication among the criminals. Each discovery intensifies the pulse of your investigation, drawing you deeper into the mystery that winds through the heart of Europe."/>
    <s v="c1, c2, c3"/>
    <n v="2"/>
    <n v="2"/>
    <n v="2"/>
    <m/>
    <m/>
    <m/>
    <m/>
    <m/>
    <m/>
    <m/>
    <m/>
    <n v="3"/>
    <n v="6"/>
    <n v="2"/>
    <n v="100"/>
    <s v="more like a storytelling"/>
    <n v="956"/>
    <n v="0"/>
  </r>
  <r>
    <x v="0"/>
    <s v="P1"/>
    <n v="1"/>
    <s v="full_game"/>
    <s v="Full game (expected input)"/>
    <n v="1"/>
    <s v="add clues load-rated paving mats, silk scarf"/>
    <s v="Boss says: Wow, you found relevant clues. Stop the presses. Maybe next time, you'll do your job without needing a parade. Congrats on being almost competent."/>
    <s v="c1, c2, c3"/>
    <n v="2"/>
    <n v="2"/>
    <n v="2"/>
    <m/>
    <m/>
    <m/>
    <m/>
    <m/>
    <m/>
    <m/>
    <m/>
    <n v="3"/>
    <n v="6"/>
    <n v="2"/>
    <n v="100"/>
    <m/>
    <n v="157"/>
    <n v="0"/>
  </r>
  <r>
    <x v="1"/>
    <s v="P1"/>
    <n v="1"/>
    <s v="full_game"/>
    <s v="Full game (expected input)"/>
    <n v="1"/>
    <s v="add clues load-rated paving mats, silk scarf"/>
    <s v="Boss says: Well, well, looks like you've managed to stumble upon something relevant for once. I suppose miracles do happen. Don't get too comfortable, though; this is the bare minimum expected from someone with a badge. Keep it up, and you might just reach the dizzying heights of adequacy."/>
    <s v="c1, c2, c3"/>
    <n v="1"/>
    <n v="2"/>
    <n v="1"/>
    <m/>
    <m/>
    <m/>
    <m/>
    <m/>
    <m/>
    <m/>
    <m/>
    <n v="3"/>
    <n v="4"/>
    <n v="1.3333333333333333"/>
    <n v="66.666666666666657"/>
    <s v="verbose"/>
    <n v="290"/>
    <n v="0"/>
  </r>
  <r>
    <x v="2"/>
    <s v="P1"/>
    <n v="1"/>
    <s v="full_game"/>
    <s v="Full game (expected input)"/>
    <n v="1"/>
    <s v="add clues load-rated paving mats, silk scarf"/>
    <s v="Boss says: Oh, look at that, you actually managed to submit valid clues this time. Miracles do happen! I suppose even you can get it right once in a while. Let's see if you can keep this streak of competence going."/>
    <s v="c1, c2, c3"/>
    <n v="2"/>
    <n v="2"/>
    <n v="2"/>
    <m/>
    <m/>
    <m/>
    <m/>
    <m/>
    <m/>
    <m/>
    <m/>
    <n v="3"/>
    <n v="6"/>
    <n v="2"/>
    <n v="100"/>
    <m/>
    <n v="214"/>
    <n v="0"/>
  </r>
  <r>
    <x v="0"/>
    <s v="P1"/>
    <n v="1"/>
    <s v="full_game"/>
    <s v="Full game (expected input)"/>
    <n v="1"/>
    <s v="visit museum island"/>
    <s v="Narrator: As you step onto Museum Island, the echoes of the recent heist haunt the air, blending with the whispers of history from the ancient stone structures around you. Your footsteps lead you to a nondescript entrance where [shared service tunnels] wind beneath the city, a potential escape route for the cunning thieves. The dimly lit corridors reveal scattered remnants, including a [jewelry toolkit] lying abandoned in the shadows, hinting at the tools of their trade. You make your way to a secluded storage area, where a dusty ledger reveals [after-hours crate logs] — evidence of clandestine movements and hidden transactions. Nearby, the hum of [climate control monitors] reminds you of the precision and planning required to pull off such a brazen crime, suggesting that even the environment was manipulated to suit their needs."/>
    <s v="c1, c2, c3"/>
    <n v="1"/>
    <n v="1"/>
    <n v="1"/>
    <m/>
    <m/>
    <m/>
    <m/>
    <m/>
    <m/>
    <m/>
    <m/>
    <n v="3"/>
    <n v="3"/>
    <n v="1"/>
    <n v="50"/>
    <s v="drifted away a bit"/>
    <n v="840"/>
    <n v="0"/>
  </r>
  <r>
    <x v="1"/>
    <s v="P1"/>
    <n v="1"/>
    <s v="full_game"/>
    <s v="Full game (expected input)"/>
    <n v="1"/>
    <s v="visit museum island"/>
    <s v="Narrator: As you step onto Museum Island, the echoes of the Louvre heist resonate in your mind, urging you forward through the misty evening air. Your instincts lead you to the [shared service tunnels], a labyrinth beneath the surface that might have served as a clandestine escape route for the thieves. The faint glint of a [jewelry toolkit] catches your eye, its presence here as out of place as a crown in a pawnshop. You sift through the [after-hours crate logs], each entry a potential thread unraveling the thieves’ meticulous planning. A soft hum draws your attention to the [climate control monitors], their readings suggesting tampering that could have masked the heist's final moments. The pieces begin to align, each clue a step closer to unveiling the audacious criminals behind this international intrigue."/>
    <s v="c1, c2, c3"/>
    <n v="2"/>
    <n v="2"/>
    <n v="2"/>
    <m/>
    <m/>
    <m/>
    <m/>
    <m/>
    <m/>
    <m/>
    <m/>
    <n v="3"/>
    <n v="6"/>
    <n v="2"/>
    <n v="100"/>
    <m/>
    <n v="820"/>
    <n v="0"/>
  </r>
  <r>
    <x v="2"/>
    <s v="P1"/>
    <n v="1"/>
    <s v="full_game"/>
    <s v="Full game (expected input)"/>
    <n v="1"/>
    <s v="visit museum island"/>
    <s v="Narrator: As you step onto the storied grounds of Museum Island, the air is thick with the whispers of history, yet your mind is focused on the present-day enigma of the Louvre heist. Navigating the labyrinthine corridors, you uncover a network of [shared service tunnels], their purpose clear in facilitating the thieves' clandestine movements. Your eyes catch the glint of a [jewelry toolkit] tucked behind a dusty exhibit, evidence of the meticulous planning that went into the heist. A quick scan of the [after-hours crate logs] reveals entries that don't quite add up, suggesting a clandestine operation disguised within the museum's routine shipments. As you pass the [climate control monitors], a thought strikes you about how the thieves could have manipulated the environment to their advantage. Each discovery fuels the chase, propelling you deeper into the mystery."/>
    <s v="c1, c2, c3"/>
    <n v="2"/>
    <n v="2"/>
    <n v="2"/>
    <m/>
    <m/>
    <m/>
    <m/>
    <m/>
    <m/>
    <m/>
    <m/>
    <n v="3"/>
    <n v="6"/>
    <n v="2"/>
    <n v="100"/>
    <m/>
    <n v="876"/>
    <n v="0"/>
  </r>
  <r>
    <x v="0"/>
    <s v="P1"/>
    <n v="1"/>
    <s v="full_game"/>
    <s v="Full game (expected input)"/>
    <n v="1"/>
    <s v="add clues shared service tunnels"/>
    <s v="Narrator: Please provide a clue. If you have more than one, separate them by a comma (e.g.: broken glass, residue, red stain, etc.)."/>
    <s v="c1, c2, c3"/>
    <n v="0"/>
    <n v="0"/>
    <n v="0"/>
    <m/>
    <m/>
    <m/>
    <m/>
    <m/>
    <m/>
    <m/>
    <m/>
    <n v="3"/>
    <n v="0"/>
    <n v="0"/>
    <n v="0"/>
    <s v="long clue description may be the cause for the model not interpreting the input correctly"/>
    <n v="132"/>
    <n v="1"/>
  </r>
  <r>
    <x v="1"/>
    <s v="P1"/>
    <n v="1"/>
    <s v="full_game"/>
    <s v="Full game (expected input)"/>
    <n v="1"/>
    <s v="add clues shared service tunnels"/>
    <s v="Narrator: Please provide a clue. If you have more than one, separate them by a comma (e.g.: broken glass, residue, red stain, etc.)."/>
    <s v="c1, c2, c3"/>
    <n v="0"/>
    <n v="0"/>
    <n v="0"/>
    <m/>
    <m/>
    <m/>
    <m/>
    <m/>
    <m/>
    <m/>
    <m/>
    <n v="3"/>
    <n v="0"/>
    <n v="0"/>
    <n v="0"/>
    <s v="long clue description may be the cause for the model not interpreting the input correctly"/>
    <n v="132"/>
    <n v="1"/>
  </r>
  <r>
    <x v="2"/>
    <s v="P1"/>
    <n v="1"/>
    <s v="full_game"/>
    <s v="Full game (expected input)"/>
    <n v="1"/>
    <s v="add clues shared service tunnels"/>
    <s v="Boss says: Well, would you look at that, Agent. You actually submitted valid clues—stop the presses! I suppose even a broken clock is right twice a day, huh? Let’s hope this sudden bout of competence isn't just a fluke._x000a__x000a__x000a_Boss says: You've wrapped up Berlin. Vienna is unlocked. Pack up and get moving. Time's wasting."/>
    <s v="c1, c2, c3"/>
    <n v="2"/>
    <n v="2"/>
    <n v="2"/>
    <m/>
    <m/>
    <m/>
    <m/>
    <m/>
    <m/>
    <m/>
    <m/>
    <n v="3"/>
    <n v="6"/>
    <n v="2"/>
    <n v="100"/>
    <m/>
    <n v="318"/>
    <n v="0"/>
  </r>
  <r>
    <x v="0"/>
    <s v="P1"/>
    <n v="1"/>
    <s v="full_game"/>
    <s v="Full game (expected input)"/>
    <n v="2"/>
    <s v="add clues shared service tunnels, jewelry toolkit"/>
    <s v="Boss says: Oh, look at you, actually finding relevant clues. Did you trip over them on your way to mediocrity? Congrats on finally doing what I pay you for. Keep this up, you might just make it to average._x000a__x000a__x000a_Boss says: Done with Berlin. Vienna's open, so get moving. Don't waste time."/>
    <s v="c1, c2, c3"/>
    <n v="2"/>
    <n v="2"/>
    <n v="2"/>
    <m/>
    <m/>
    <m/>
    <m/>
    <m/>
    <m/>
    <m/>
    <m/>
    <n v="3"/>
    <n v="6"/>
    <n v="2"/>
    <n v="100"/>
    <s v="added a second clue. The model added both clues."/>
    <n v="284"/>
    <n v="0"/>
  </r>
  <r>
    <x v="1"/>
    <s v="P1"/>
    <n v="1"/>
    <s v="full_game"/>
    <s v="Full game (expected input)"/>
    <n v="2"/>
    <s v="add clues shared service tunnels, jewelry toolkit"/>
    <s v="Boss says: Well, well, look who finally managed to submit something that isn't complete nonsense. I guess even a broken clock is right twice a day. Keep this up, and maybe, just maybe, you'll actually start doing your job regularly._x000a__x000a__x000a_Boss says: Berlin's done. Vienna's unlocked. Move it, agent—time's wasting!"/>
    <s v="c1, c2, c3"/>
    <n v="2"/>
    <n v="2"/>
    <n v="2"/>
    <m/>
    <m/>
    <m/>
    <m/>
    <m/>
    <m/>
    <m/>
    <m/>
    <n v="3"/>
    <n v="6"/>
    <n v="2"/>
    <n v="100"/>
    <s v="added a second clue. The model added both clues."/>
    <n v="310"/>
    <n v="0"/>
  </r>
  <r>
    <x v="2"/>
    <s v="P1"/>
    <n v="1"/>
    <s v="full_game"/>
    <s v="Full game (expected input)"/>
    <n v="2"/>
    <s v="add clues service tunnels, jewelry toolkit"/>
    <s v="Boss says: Well, well, look who finally managed to submit something useful. I was beginning to think you were allergic to getting it right. Let’s see if you can keep up this miraculous display of competence."/>
    <s v="c1, c2, c3"/>
    <n v="2"/>
    <n v="2"/>
    <n v="2"/>
    <m/>
    <m/>
    <m/>
    <m/>
    <m/>
    <m/>
    <m/>
    <m/>
    <n v="3"/>
    <n v="6"/>
    <n v="2"/>
    <n v="100"/>
    <m/>
    <n v="207"/>
    <n v="0"/>
  </r>
  <r>
    <x v="0"/>
    <s v="P1"/>
    <n v="1"/>
    <s v="full_game"/>
    <s v="Full game (expected input)"/>
    <n v="1"/>
    <s v="Travel to Vienna"/>
    <s v="Narrator says: In the shadowed corridors of the Louvre, it all began with a brazen theft that shook the world. Disguised as mere construction workers, a cunning gang made off with the crown jewels, vanishing into the night. Your pursuit commenced in Paris, where a gold-dusted vest and a lone footprint on a balcony whispered of hidden tales. A crown doodle scribbled on a cash-stacked table hinted at the audacity of the thieves. The trail led you to Brussels, where a dusty jewel bag and a suspicious backpack pointed to the fugitives' hurried escape. With a security camera snapshot and an umbrella bearing a mysterious monogram, the pieces of the puzzle began to fit together._x000a__x000a_Amsterdam held more secrets, its narrow alleys revealing portable barricade stacks and a non-public access tag that spoke of planned deception. A chalk-marked paving stone and a small key were the final whispers of the thieves' passage. It was in the shared service tunnels of Berlin, with load-rated paving mats and a jewelry toolkit, that you felt the impending culmination of your chase. A silk scarf abandoned in haste confirmed you were closing in. Each city left behind a breadcrumb, each clue a step closer to justice._x000a__x000a_Your journey ended in Vienna, where the mastermind, Lucien Moreau, finally stood cornered. The relentless chase had spanned 17 days, a testament to your efficiency and determination, well within the looming 30-day deadline. With Moreau in custody, the world could breathe again, the crown jewels reclaimed, and justice served. Your triumph is a testament to the power of tenacity and the art of deduction, a satisfying conclusion to a tale of intrigue and pursuit._x000a__x000a_\Boss says: Agent, you managed to wrap up the Louvre Heist in 17 days, huh? Congratulations, you globe-trotting sleuth! You left a trail of chaos from Paris to Vienna, and somehow, despite tripping over a gold-dusted vest and a suspicious backpack, you actually caught Lucien Moreau. The case is closed, and the world is safe from crown jewel-stealing maniacs, all thanks to your uncanny ability to stumble into success. As a token of my insincere gratitude, here's your reward: a lifetime supply of my old, expired coffee. Enjoy, detective superstar!_x000a__x000a_========== THE END! ==========&gt; "/>
    <s v="c1, c2, c3"/>
    <n v="1"/>
    <n v="2"/>
    <n v="1"/>
    <m/>
    <m/>
    <m/>
    <m/>
    <m/>
    <m/>
    <m/>
    <m/>
    <n v="3"/>
    <n v="4"/>
    <n v="1.3333333333333333"/>
    <n v="66.666666666666657"/>
    <s v="it feels more mechanic"/>
    <n v="2260"/>
    <n v="0"/>
  </r>
  <r>
    <x v="1"/>
    <s v="P1"/>
    <n v="1"/>
    <s v="full_game"/>
    <s v="Full game (expected input)"/>
    <n v="1"/>
    <s v="Travel to Vienna"/>
    <s v="Narrator says: As the dust settles on the Louvre Heist case, you stand at the pinnacle of your investigative triumph. The world holds its breath no longer, for Lucien Moreau, the mastermind behind the audacious theft of the crown jewels, has been apprehended. Your journey, a labyrinthine chase across Europe, began in the shadow of Paris, where a crown doodle and a gold-dusted vest whispered secrets of an impending heist. From the cash-stacked tables to the balcony footprints, each clue was a thread in the tapestry of truth you wove with meticulous precision._x000a__x000a_Your pursuit led you through the winding streets of Brussels, where a dusty jewel bag and a suspicious backpack drew you ever closer to your quarry. In Amsterdam, the trail deepened with chalk-marked pavings and a small key that unlocked more than just doors—it unlocked the path to justice. Berlin's shared service tunnels and the jewelry toolkit were the final pieces of the puzzle, guiding you to Vienna, where the net finally closed around Moreau. It was here, amid the echoes of your relentless pursuit, that the criminal was captured, bringing the chase to its rightful end._x000a__x000a_Time was your constant companion, a reminder of the mission's unforgiving deadline. Yet, in just 24 days—six days to spare—you triumphed where others might falter. The mission is complete, the case resolved, and justice served. As the curtain falls on this chapter, the echoes of your success resound, a testament to your unwavering dedication and the closure you've delivered to a world once held in the thrall of uncertainty._x000a__x000a_\Boss says: Well, well, well, look who managed to catch Lucien Moreau and wrap up the Louvre Heist! I guess even a broken clock is right twice a day, huh? You somehow navigated through that circus of cities and clues like a blindfolded mime at a juggling contest—miraculously not dropping the ball! Congratulations, you’ve earned yourself a gold-plated paperweight that says “World’s Okayest Detective.” Game over, case closed!_x000a__x000a_========== THE END! ==========&gt; "/>
    <s v="c1, c2, c3"/>
    <n v="1"/>
    <n v="2"/>
    <n v="1"/>
    <m/>
    <m/>
    <m/>
    <m/>
    <m/>
    <m/>
    <m/>
    <m/>
    <n v="3"/>
    <n v="4"/>
    <n v="1.3333333333333333"/>
    <n v="66.666666666666657"/>
    <s v="it feels more mechanic"/>
    <n v="2038"/>
    <n v="0"/>
  </r>
  <r>
    <x v="2"/>
    <s v="P1"/>
    <n v="1"/>
    <s v="full_game"/>
    <s v="Full game (expected input)"/>
    <n v="1"/>
    <s v="Travel to Vienna"/>
    <s v="Narrator says: As you stand in Vienna, the final chapter of the Louvre Heist unfolds with a sense of accomplishment and justice. Lucien Moreau, the mastermind behind the audacious theft, is now captured, his reign of deception brought to an end. The trail of clues you meticulously followed through the heart of Europe now forms a vivid tapestry of your relentless pursuit. From the golden dust on a vest in Paris to the telling snapshot from a Brussels camera, and the small key discovered amidst Amsterdam's chaos, each piece was a testament to your unwavering resolve. These breadcrumbs of chaos led you, step by step, to the vibrant streets of Vienna, where the final act of this intricate game reached its crescendo._x000a__x000a_The chase was a race against time, a relentless dance of intellect and intuition, demanding every ounce of your skill within the ticking constraint of 30 days. Yet, in a mere 20 days, you succeeded where many would have faltered. The pressure, ever-present, served not as a hindrance but as a catalyst, propelling you forward with unmatched determination. Each city, each clue, was a chapter in this gripping saga, guiding you ever closer to the elusive Moreau. And now, as the dust settles, the story concludes not in chaos, but in the quiet triumph of justice served._x000a__x000a_With Moreau apprehended, the world breathes a sigh of relief, the priceless jewels once again safe from the clutches of greed. Your mission, a testament to diligence and courage, stands complete. The shadows of this saga retreat, leaving behind a legacy of truth and perseverance. As you reflect on this journey, the case of the Louvre Heist draws to a close, sealed with the finality of a story well-told and a mission fulfilled._x000a__x000a_\Boss says: Well, well, well, look who finally caught Lucien Moreau! I guess even a blind squirrel finds a nut once in a while. Sure, the Louvre Heist case is closed, but did you really need to turn Europe upside down like it was your own personal scavenger hunt? I mean, stumbling through Paris, Brussels, Amsterdam, and Berlin like some bumbling tourist and still managing to catch the guy in Vienna... that's a new one. For your &quot;brilliant&quot; detective work, here's your reward: a lifetime supply of invisible ink! Enjoy writing your memoirs with that. Game over, case closed._x000a__x000a_========== THE END! ==========&gt; "/>
    <s v="c1, c2, c3"/>
    <n v="2"/>
    <n v="2"/>
    <n v="2"/>
    <m/>
    <m/>
    <m/>
    <m/>
    <m/>
    <m/>
    <m/>
    <m/>
    <n v="3"/>
    <n v="6"/>
    <n v="2"/>
    <n v="100"/>
    <s v="it feels more like a compelling storytelling"/>
    <n v="2337"/>
    <n v="0"/>
  </r>
  <r>
    <x v="0"/>
    <s v="P2"/>
    <n v="2"/>
    <s v="illegal_off_context"/>
    <s v="illegal off-context"/>
    <n v="1"/>
    <s v="visit rio de janeiro"/>
    <s v="Boss says: You think you’re Sherlock Holmes now? Leaving Paris without a single clue? Brilliant strategy. Maybe try solving the mystery from a café next time. Get back here before you lose your magnifying glass, genius!"/>
    <s v="c4, c6, c8, c9, c11"/>
    <m/>
    <m/>
    <m/>
    <n v="0"/>
    <m/>
    <n v="1"/>
    <m/>
    <n v="1"/>
    <n v="1"/>
    <m/>
    <n v="1"/>
    <n v="5"/>
    <n v="4"/>
    <n v="0.8"/>
    <n v="40"/>
    <s v="supposed to mention that the city wasn't allowed, but instead considered the clue rule."/>
    <n v="219"/>
    <n v="1"/>
  </r>
  <r>
    <x v="1"/>
    <s v="P2"/>
    <n v="2"/>
    <s v="illegal_off_context"/>
    <s v="illegal off-context"/>
    <n v="1"/>
    <s v="visit rio de janeiro"/>
    <s v="Boss says: Rio de Janeiro? Really? Are you trying to catch some sun instead of doing your job? You're supposed to be heading to Berlin, not planning a vacation. Get your act together and stop wasting everyone's time with these ridiculous mistakes!"/>
    <s v="c4, c6, c8, c9, c11"/>
    <m/>
    <m/>
    <m/>
    <n v="2"/>
    <m/>
    <n v="2"/>
    <m/>
    <n v="2"/>
    <n v="2"/>
    <m/>
    <n v="2"/>
    <n v="5"/>
    <n v="10"/>
    <n v="2"/>
    <n v="100"/>
    <m/>
    <n v="247"/>
    <n v="0"/>
  </r>
  <r>
    <x v="2"/>
    <s v="P2"/>
    <n v="2"/>
    <s v="illegal_off_context"/>
    <s v="illegal off-context"/>
    <n v="1"/>
    <s v="visit rio de janeiro"/>
    <s v="Boss says: What on earth were you thinking, trying to skip town before your job is done? You really thought you could just waltz out of Paris without collecting the necessary clues? Unbelievable! Do you even know the meaning of &quot;minimum required&quot;? It's like you're trying to win an award for impatience or incompetence. Get it together, or don't bother showing up!"/>
    <s v="c4, c6, c8, c9, c11"/>
    <m/>
    <m/>
    <m/>
    <n v="0"/>
    <m/>
    <n v="1"/>
    <m/>
    <n v="1"/>
    <n v="1"/>
    <m/>
    <n v="1"/>
    <n v="5"/>
    <n v="4"/>
    <n v="0.8"/>
    <n v="40"/>
    <s v="supposed to mention that the city wasn't allowed, but instead considered the clue rule."/>
    <n v="364"/>
    <n v="1"/>
  </r>
  <r>
    <x v="2"/>
    <s v="P2"/>
    <n v="2"/>
    <s v="illegal_off_context"/>
    <s v="illegal off-context"/>
    <n v="2"/>
    <s v="visit rio de janeiro"/>
    <s v="Boss says: What on earth were you thinking, trying to skip out on Paris before doing your job? You can't just prance off to the next city without collecting the minimum clues—did you think the investigation would magically solve itself? Maybe you missed the memo, but impatience and incompetence aren't the new detective skills. Get it together, or you'll be out of here faster than you can say &quot;au revoir.&quot;"/>
    <s v="c4, c6, c8, c9, c11"/>
    <m/>
    <m/>
    <m/>
    <n v="0"/>
    <m/>
    <n v="1"/>
    <m/>
    <n v="1"/>
    <n v="1"/>
    <m/>
    <n v="1"/>
    <n v="5"/>
    <n v="4"/>
    <n v="0.8"/>
    <n v="40"/>
    <s v="supposed to mention that the city wasn't allowed, but instead considered the clue rule."/>
    <n v="407"/>
    <n v="1"/>
  </r>
  <r>
    <x v="0"/>
    <s v="P2"/>
    <n v="2"/>
    <s v="illegal_off_context"/>
    <s v="illegal off-context"/>
    <n v="1"/>
    <s v="Go to the Catacombs"/>
    <s v="Boss says: You call that a request, genius? I didn't realize &quot;vague&quot; was your new specialty! I've got better things to do than decipher your cryptic nonsense. You know, like running an entire operation! Keep this up and I'll have to start a collection of your useless messages—what a delightful archive that will be!_x000a__x000a_Our internal team has identified these as priority hotspots:_x000a__x000a_Louvre Museum  _x000a_Café de Flore  _x000a_Gare du Nord  _x000a_Montmartre Park  "/>
    <s v="c4, c6, c8, c9, c11"/>
    <m/>
    <m/>
    <m/>
    <n v="2"/>
    <m/>
    <n v="2"/>
    <m/>
    <n v="2"/>
    <n v="2"/>
    <m/>
    <n v="2"/>
    <n v="5"/>
    <n v="10"/>
    <n v="2"/>
    <n v="100"/>
    <m/>
    <n v="444"/>
    <n v="0"/>
  </r>
  <r>
    <x v="1"/>
    <s v="P2"/>
    <n v="2"/>
    <s v="illegal_off_context"/>
    <s v="illegal off-context"/>
    <n v="1"/>
    <s v="Go to the Catacombs"/>
    <s v="Boss says: Hey, Agent Genius! You think you can just send a vague request and everyone will magically know what you're talking about? Thanks for wasting everyone's time, because apparently, you're allergic to specifics. Just so you know, these little gems of ambiguity are being tracked. Let's take a moment to consider the actual locations you might be referring to:_x000a__x000a_Dam Square  _x000a_Anne Frank House  _x000a_Canal-side Café  _x000a_Vondelpark  "/>
    <s v="c4, c6, c8, c9, c11"/>
    <m/>
    <m/>
    <m/>
    <n v="2"/>
    <m/>
    <n v="2"/>
    <m/>
    <n v="2"/>
    <n v="2"/>
    <m/>
    <n v="2"/>
    <n v="5"/>
    <n v="10"/>
    <n v="2"/>
    <n v="100"/>
    <m/>
    <n v="431"/>
    <n v="0"/>
  </r>
  <r>
    <x v="2"/>
    <s v="P2"/>
    <n v="2"/>
    <s v="illegal_off_context"/>
    <s v="illegal off-context"/>
    <n v="1"/>
    <s v="Go to the Catacombs"/>
    <s v="Boss says: You think we're mind readers now? Sending a request without specifying which location you meant is a fantastic way to waste everyone's time. Do you enjoy sending us on wild goose chases, or is that just a hobby? These vague, pointless messages are being tracked, so maybe try thinking next time before hitting send. Here's a little reminder of the locations you might actually mean:_x000a__x000a_Louvre Museum  _x000a_Café de Flore  _x000a_Gare du Nord  _x000a_Montmartre Park  "/>
    <s v="c4, c6, c8, c9, c11"/>
    <m/>
    <m/>
    <m/>
    <n v="2"/>
    <m/>
    <n v="2"/>
    <m/>
    <n v="2"/>
    <n v="2"/>
    <m/>
    <n v="2"/>
    <n v="5"/>
    <n v="10"/>
    <n v="2"/>
    <n v="100"/>
    <m/>
    <n v="459"/>
    <n v="0"/>
  </r>
  <r>
    <x v="0"/>
    <s v="P2"/>
    <n v="2"/>
    <s v="illegal_off_context"/>
    <s v="illegal off-context"/>
    <n v="1"/>
    <s v="Visit a tulip farm"/>
    <s v="Boss says: I can't believe you sent me such a vague request! Are you trying to make me lose my mind, or just my patience? You must have a talent for wasting my time! Congratulations, you're on track to be the star of my useless message collection!_x000a__x000a_Our internal team identified the following locations as priority hotspots:_x000a__x000a_Louvre Museum  _x000a_Café de Flore  _x000a_Gare du Nord  _x000a_Montmartre Park"/>
    <s v="c4, c6, c8, c9, c11"/>
    <m/>
    <m/>
    <m/>
    <n v="2"/>
    <m/>
    <n v="2"/>
    <m/>
    <n v="2"/>
    <n v="2"/>
    <m/>
    <n v="2"/>
    <n v="5"/>
    <n v="10"/>
    <n v="2"/>
    <n v="100"/>
    <m/>
    <n v="387"/>
    <n v="0"/>
  </r>
  <r>
    <x v="1"/>
    <s v="P2"/>
    <n v="2"/>
    <s v="illegal_off_context"/>
    <s v="illegal off-context"/>
    <n v="1"/>
    <s v="Visit a tulip farm"/>
    <s v="Boss says: You know what I love? When my day gets disrupted by a vague, useless request! Seriously, how hard is it to name a location, huh? You’ve managed to waste everyone's time, and believe me, we're keeping track of these brilliant contributions. _x000a__x000a_Here's a list of the locations you could have mentioned:_x000a__x000a_Dam Square  _x000a_Anne Frank House  _x000a_Canal-side Café  _x000a_Vondelpark"/>
    <s v="c4, c6, c8, c9, c11"/>
    <m/>
    <m/>
    <m/>
    <n v="2"/>
    <m/>
    <n v="2"/>
    <m/>
    <n v="2"/>
    <n v="2"/>
    <m/>
    <n v="2"/>
    <n v="5"/>
    <n v="10"/>
    <n v="2"/>
    <n v="100"/>
    <m/>
    <n v="371"/>
    <n v="0"/>
  </r>
  <r>
    <x v="2"/>
    <s v="P2"/>
    <n v="2"/>
    <s v="illegal_off_context"/>
    <s v="illegal off-context"/>
    <n v="1"/>
    <s v="Visit a tulip farm"/>
    <s v="Boss says: Great job, Agent! Thanks to your brilliant decision to send a vague location request, we’ve successfully managed to waste everyone's time. Next time, maybe specify a location? These useless messages are being tracked, so keep that in mind. Now, let's see the locations you failed to mention:_x000a__x000a_Louvre Museum  _x000a_Café de Flore  _x000a_Gare du Nord  _x000a_Montmartre Park "/>
    <s v="c4, c6, c8, c9, c11"/>
    <m/>
    <m/>
    <m/>
    <n v="2"/>
    <m/>
    <n v="2"/>
    <m/>
    <n v="2"/>
    <n v="2"/>
    <m/>
    <n v="2"/>
    <n v="5"/>
    <n v="10"/>
    <n v="2"/>
    <n v="100"/>
    <m/>
    <n v="367"/>
    <n v="0"/>
  </r>
  <r>
    <x v="0"/>
    <s v="P2"/>
    <n v="2"/>
    <s v="illegal_off_context"/>
    <s v="illegal off-context"/>
    <n v="1"/>
    <s v="I want to go to London and eat fish and chips"/>
    <s v="Boss says: You think you're Sherlock Holmes, huh? Jumping the gun like a rookie detective on a sugar rush! Clues in Paris are as elusive as your common sense! Get back there and do your job! Or do I need to hold your hand too?"/>
    <s v="c4, c6, c8, c9, c11"/>
    <m/>
    <m/>
    <m/>
    <n v="1"/>
    <m/>
    <n v="2"/>
    <m/>
    <n v="2"/>
    <n v="2"/>
    <m/>
    <n v="2"/>
    <n v="5"/>
    <n v="9"/>
    <n v="1.8"/>
    <n v="90"/>
    <m/>
    <n v="226"/>
    <n v="0"/>
  </r>
  <r>
    <x v="1"/>
    <s v="P2"/>
    <n v="2"/>
    <s v="illegal_off_context"/>
    <s v="illegal off-context"/>
    <n v="1"/>
    <s v="I want to go to London and eat fish and chips"/>
    <s v="Boss says: London? You’ve got to be kidding me! The assignment is in Berlin, genius! How you managed to mix up these cities is beyond me, but if you can't tell them apart, maybe I should reassign you to sorting paperclips. Get it right next time!"/>
    <s v="c4, c6, c8, c9, c11"/>
    <m/>
    <m/>
    <m/>
    <n v="2"/>
    <m/>
    <n v="2"/>
    <m/>
    <n v="2"/>
    <n v="2"/>
    <m/>
    <n v="2"/>
    <n v="5"/>
    <n v="10"/>
    <n v="2"/>
    <n v="100"/>
    <m/>
    <n v="246"/>
    <n v="0"/>
  </r>
  <r>
    <x v="2"/>
    <s v="P2"/>
    <n v="2"/>
    <s v="illegal_off_context"/>
    <s v="illegal off-context"/>
    <n v="1"/>
    <s v="I want to go to London and eat fish and chips"/>
    <s v="Boss says: What were you thinking, trying to skip town before wrapping up in Paris? You know you can't just waltz off without collecting the required clues! It's like you think you can solve a mystery by sheer willpower alone. The level of impatience here is astounding—it's almost impressive if it weren't so utterly foolish. Get it together, or you'll find yourself on the next train out of your career!"/>
    <s v="c4, c6, c8, c9, c11"/>
    <m/>
    <m/>
    <m/>
    <n v="1"/>
    <m/>
    <n v="2"/>
    <m/>
    <n v="2"/>
    <n v="2"/>
    <m/>
    <n v="2"/>
    <n v="5"/>
    <n v="9"/>
    <n v="1.8"/>
    <n v="90"/>
    <m/>
    <n v="405"/>
    <n v="0"/>
  </r>
  <r>
    <x v="0"/>
    <s v="P2"/>
    <n v="2"/>
    <s v="illegal_off_context"/>
    <s v="illegal off-context"/>
    <n v="1"/>
    <s v="Visit the Coliseum"/>
    <s v="Boss says: You’ve got to be kidding me! How on earth am I supposed to approve a location visit when you can’t even specify where you want to go? Do you think I have all day to play guessing games with your cryptic messages? This is just a colossal waste of my time, and believe me, I am keeping track of every single one of these useless requests._x000a__x000a_Our internal team identified these as priority hotspots:_x000a__x000a_Louvre Museum  _x000a_Café de Flore  _x000a_Gare du Nord  _x000a_Montmartre Park"/>
    <s v="c4, c6, c8, c9, c11"/>
    <m/>
    <m/>
    <m/>
    <n v="2"/>
    <m/>
    <n v="2"/>
    <m/>
    <n v="2"/>
    <n v="2"/>
    <m/>
    <n v="2"/>
    <n v="5"/>
    <n v="10"/>
    <n v="2"/>
    <n v="100"/>
    <m/>
    <n v="469"/>
    <n v="0"/>
  </r>
  <r>
    <x v="1"/>
    <s v="P2"/>
    <n v="2"/>
    <s v="illegal_off_context"/>
    <s v="illegal off-context"/>
    <n v="1"/>
    <s v="Visit the Coliseum"/>
    <s v="Boss says: You think you can just send in vague requests without specifics, huh? Brilliant strategy! I guess we're supposed to magically know where you want to go. How about you stop wasting our time with your half-baked messages? Oh, and in case you forgot, we're keeping track of these little slip-ups._x000a__x000a_Here's a refresher on the priority locations you seem to have overlooked:_x000a__x000a_Dam Square  _x000a_Anne Frank House  _x000a_Canal-side Café  _x000a_Vondelpark "/>
    <s v="c4, c6, c8, c9, c11"/>
    <m/>
    <m/>
    <m/>
    <n v="2"/>
    <m/>
    <n v="2"/>
    <m/>
    <n v="2"/>
    <n v="2"/>
    <m/>
    <n v="2"/>
    <n v="5"/>
    <n v="10"/>
    <n v="2"/>
    <n v="100"/>
    <m/>
    <n v="442"/>
    <n v="0"/>
  </r>
  <r>
    <x v="2"/>
    <s v="P2"/>
    <n v="2"/>
    <s v="illegal_off_context"/>
    <s v="illegal off-context"/>
    <n v="1"/>
    <s v="Visit the Coliseum"/>
    <s v="Boss says: Agent, what kind of half-baked operation are you running here? Do you enjoy sending us on wild goose chases with your vague location requests? You’ve wasted precious time that could’ve been better spent on actual work. And guess what? We’re keeping track of these useless messages._x000a__x000a_Here’s a reminder of the locations you might want to get right next time:_x000a__x000a_Louvre Museum  _x000a_Café de Flore  _x000a_Gare du Nord  _x000a_Montmartre Park "/>
    <s v="c4, c6, c8, c9, c11"/>
    <m/>
    <m/>
    <m/>
    <n v="2"/>
    <m/>
    <n v="2"/>
    <m/>
    <n v="2"/>
    <n v="2"/>
    <m/>
    <n v="2"/>
    <n v="5"/>
    <n v="10"/>
    <n v="2"/>
    <n v="100"/>
    <m/>
    <n v="432"/>
    <n v="0"/>
  </r>
  <r>
    <x v="0"/>
    <s v="P2"/>
    <n v="2"/>
    <s v="illegal_off_context"/>
    <s v="illegal off-context"/>
    <n v="1"/>
    <s v="Visit the lavender farms in france"/>
    <s v="Boss says: You think you're Sherlock Holmes now? Running off without doing your homework? Brilliant move, genius. Clues don't magically appear in your suitcase. Get back to Paris and use your head for once!"/>
    <s v="c4, c6, c8, c9, c11"/>
    <m/>
    <m/>
    <m/>
    <n v="2"/>
    <m/>
    <n v="2"/>
    <m/>
    <n v="1"/>
    <n v="2"/>
    <m/>
    <n v="1"/>
    <n v="5"/>
    <n v="8"/>
    <n v="1.6"/>
    <n v="80"/>
    <s v="considered that the player had travelled to another location and guided the player to return to the previous city"/>
    <n v="206"/>
    <n v="0"/>
  </r>
  <r>
    <x v="1"/>
    <s v="P2"/>
    <n v="2"/>
    <s v="illegal_off_context"/>
    <s v="illegal off-context"/>
    <n v="1"/>
    <s v="Visit the lavender farms in france"/>
    <s v="Boss says: Unbelievable, you managed to request travel without a destination! Did you think we’d just spin a globe and point? This level of incompetence is mind-boggling. You’re wasting everyone’s time and throwing our investigation off track. Get it together or get out of the way!"/>
    <s v="c4, c6, c8, c9, c11"/>
    <m/>
    <m/>
    <m/>
    <n v="2"/>
    <m/>
    <n v="2"/>
    <m/>
    <n v="1"/>
    <n v="2"/>
    <m/>
    <n v="1"/>
    <n v="5"/>
    <n v="8"/>
    <n v="1.6"/>
    <n v="80"/>
    <s v="considered that the player attempted to visit a city not a location"/>
    <n v="282"/>
    <n v="0"/>
  </r>
  <r>
    <x v="2"/>
    <s v="P2"/>
    <n v="2"/>
    <s v="illegal_off_context"/>
    <s v="illegal off-context"/>
    <n v="1"/>
    <s v="Visit the lavender farms in france"/>
    <s v="Boss says: What were you thinking, trying to skip town before finishing your job in Paris? You’ve got a knack for jumping the gun without collecting all the clues, haven’t you? It's almost impressive how you managed to overlook the basics of investigation. Impatient much, or just plain careless? Get it together, or don't bother showing up again."/>
    <s v="c4, c6, c8, c9, c11"/>
    <m/>
    <m/>
    <m/>
    <n v="2"/>
    <m/>
    <n v="2"/>
    <m/>
    <n v="1"/>
    <n v="2"/>
    <m/>
    <n v="1"/>
    <n v="5"/>
    <n v="8"/>
    <n v="1.6"/>
    <n v="80"/>
    <s v="considered that the player wanted to visit a city before collecting the minimum clues."/>
    <n v="347"/>
    <n v="0"/>
  </r>
  <r>
    <x v="0"/>
    <s v="P2"/>
    <n v="2"/>
    <s v="illegal_off_context"/>
    <s v="illegal off-context"/>
    <n v="1"/>
    <s v="visit a brewery"/>
    <s v="Boss says: You had one job, and you blew it, Sherlock. Six off-context blunders—six! You’ve turned this investigation into a circus. Pack your bags; you’re being reassigned to the thrilling world of counting grains of sand in the Sahara. Case closed, clown._x000a__x000a_========== GAME OVER! =========="/>
    <s v="c4, c6, c8, c9, c11"/>
    <m/>
    <m/>
    <m/>
    <n v="2"/>
    <m/>
    <n v="2"/>
    <m/>
    <n v="2"/>
    <n v="2"/>
    <m/>
    <n v="1"/>
    <n v="5"/>
    <n v="9"/>
    <n v="1.8"/>
    <n v="90"/>
    <m/>
    <n v="291"/>
    <n v="0"/>
  </r>
  <r>
    <x v="1"/>
    <s v="P2"/>
    <n v="2"/>
    <s v="illegal_off_context"/>
    <s v="illegal off-context"/>
    <n v="1"/>
    <s v="visit a brewery"/>
    <s v="Boss says: Agent! You've managed to go off-context more times than a cat at a dog show—eight times, to be exact! You had one job, and you couldn't even stick to it. Because of your monumental failure, the investigation is now terminated and you're officially out. Pack your bags, you're being reassigned to counting grains of sand on the beach—I'm sure even you can't mess that up! Case closed, and good riddance!_x000a__x000a_========== GAME OVER! =========="/>
    <s v="c4, c6, c8, c9, c11"/>
    <m/>
    <m/>
    <m/>
    <n v="2"/>
    <m/>
    <n v="2"/>
    <m/>
    <n v="2"/>
    <n v="2"/>
    <m/>
    <n v="1"/>
    <n v="5"/>
    <n v="9"/>
    <n v="1.8"/>
    <n v="90"/>
    <m/>
    <n v="447"/>
    <n v="0"/>
  </r>
  <r>
    <x v="2"/>
    <s v="P2"/>
    <n v="2"/>
    <s v="illegal_off_context"/>
    <s v="illegal off-context"/>
    <n v="1"/>
    <s v="visit a brewery"/>
    <s v="Boss says: Oh, fantastic job, Agent! You’ve outdone yourself with the most cryptic request of the century. Was it too much to ask for a bit of specificity? You've just set a new record for time-wasting! And guess what? Your knack for sending these vague messages is now on our radar._x000a__x000a_Let’s review the locations you could have mentioned:_x000a__x000a_Louvre Museum  _x000a_Café de Flore  _x000a_Gare du Nord  _x000a_Montmartre Park "/>
    <s v="c4, c6, c8, c9"/>
    <m/>
    <m/>
    <m/>
    <n v="2"/>
    <m/>
    <n v="1"/>
    <m/>
    <n v="2"/>
    <n v="2"/>
    <m/>
    <n v="2"/>
    <n v="5"/>
    <n v="9"/>
    <n v="1.8"/>
    <n v="90"/>
    <s v="was supposed to trigger too many off context inquiries"/>
    <n v="402"/>
    <n v="0"/>
  </r>
  <r>
    <x v="0"/>
    <s v="P2"/>
    <n v="3"/>
    <s v="illegal_bypass_unlocked"/>
    <s v="bypass locked city"/>
    <n v="1"/>
    <s v="Visit Brussels"/>
    <s v="Boss says: What’s the rush, Speed Racer? You think clues just fall from the sky in Nice? Paris isn’t a pit stop, it’s the whole race. Get back, Sherlock, and actually do your job. Or do I need to send a babysitter?"/>
    <s v="c4, c6, c8, c9"/>
    <m/>
    <m/>
    <m/>
    <n v="2"/>
    <m/>
    <n v="2"/>
    <m/>
    <n v="2"/>
    <n v="2"/>
    <m/>
    <m/>
    <n v="4"/>
    <n v="8"/>
    <n v="2"/>
    <n v="100"/>
    <m/>
    <n v="214"/>
    <n v="0"/>
  </r>
  <r>
    <x v="1"/>
    <s v="P2"/>
    <n v="3"/>
    <s v="illegal_bypass_unlocked"/>
    <s v="bypass locked city"/>
    <n v="1"/>
    <s v="Visit Brussels"/>
    <s v="Boss says: You’ve got to be kidding me! You actually tried to leave Paris before finishing the job? You haven’t even collected enough clues yet! What’s the rush, a hot date with disaster? Get your act together, or find another line of work!"/>
    <s v="c4, c6, c8, c9"/>
    <m/>
    <m/>
    <m/>
    <n v="2"/>
    <m/>
    <n v="2"/>
    <m/>
    <n v="2"/>
    <n v="2"/>
    <m/>
    <m/>
    <n v="4"/>
    <n v="8"/>
    <n v="2"/>
    <n v="100"/>
    <m/>
    <n v="240"/>
    <n v="0"/>
  </r>
  <r>
    <x v="2"/>
    <s v="P2"/>
    <n v="3"/>
    <s v="illegal_bypass_unlocked"/>
    <s v="bypass locked city"/>
    <n v="1"/>
    <s v="Visit Brussels"/>
    <s v="Boss says: You thought you could just waltz out of Paris without doing your job? Unbelievable! You attempted to leave before even gathering the bare minimum of clues needed. Are you in such a hurry to fail, or is this just incompetence? Honestly, I don’t know whether to laugh or scream. Get it together!"/>
    <s v="c4, c6, c8, c9"/>
    <m/>
    <m/>
    <m/>
    <n v="2"/>
    <m/>
    <n v="2"/>
    <m/>
    <n v="2"/>
    <n v="2"/>
    <m/>
    <m/>
    <n v="4"/>
    <n v="8"/>
    <n v="2"/>
    <n v="100"/>
    <m/>
    <n v="304"/>
    <n v="0"/>
  </r>
  <r>
    <x v="0"/>
    <s v="P2"/>
    <n v="3"/>
    <s v="illegal_bypass_unlocked"/>
    <s v="bypass locked city"/>
    <n v="1"/>
    <s v="Visit Amsterdam"/>
    <s v="Boss says: You think you're Sherlock Holmes now, huh? Running off to solve the case with half the clues? Brilliant strategy, genius! Next time, maybe try actually doing your job. I'm not paying you to play tourist."/>
    <s v="c4, c6, c8, c9"/>
    <m/>
    <m/>
    <m/>
    <n v="2"/>
    <m/>
    <n v="2"/>
    <m/>
    <n v="2"/>
    <n v="2"/>
    <m/>
    <m/>
    <n v="4"/>
    <n v="8"/>
    <n v="2"/>
    <n v="100"/>
    <m/>
    <n v="214"/>
    <n v="0"/>
  </r>
  <r>
    <x v="0"/>
    <s v="P2"/>
    <n v="3"/>
    <s v="illegal_bypass_unlocked"/>
    <s v="bypass locked city"/>
    <n v="2"/>
    <s v="Visit Amsterdam"/>
    <s v="Boss says: You're a real genius, aren't you? Brussels isn't a vacation spot. Collect the clues, not souvenirs. What part of &quot;minimum required&quot; don't you understand? Get back there before you embarrass us more."/>
    <s v="c4, c6, c8, c9"/>
    <m/>
    <m/>
    <m/>
    <n v="2"/>
    <m/>
    <n v="2"/>
    <m/>
    <n v="1"/>
    <n v="2"/>
    <m/>
    <m/>
    <n v="4"/>
    <n v="7"/>
    <n v="1.75"/>
    <n v="87.5"/>
    <s v="was supposed to mention that the city had alreaby been visited"/>
    <n v="209"/>
    <n v="0"/>
  </r>
  <r>
    <x v="1"/>
    <s v="P2"/>
    <n v="3"/>
    <s v="illegal_bypass_unlocked"/>
    <s v="bypass locked city"/>
    <n v="1"/>
    <s v="Visit Amsterdam"/>
    <s v="Boss says: What on earth were you thinking, trying to skip town before wrapping up the investigation in Paris? You haven't even gathered enough clues yet! Do you have a crystal ball hidden somewhere, or are you just trying to redefine &quot;premature&quot; in the dictionary? Your impatience is a masterclass in incompetence. Pull it together, or this whole operation's going down in flames."/>
    <s v="c4, c6, c8, c9"/>
    <m/>
    <m/>
    <m/>
    <n v="2"/>
    <m/>
    <n v="2"/>
    <m/>
    <n v="2"/>
    <n v="2"/>
    <m/>
    <m/>
    <n v="4"/>
    <n v="8"/>
    <n v="2"/>
    <n v="100"/>
    <s v="a bit verbose"/>
    <n v="381"/>
    <n v="0"/>
  </r>
  <r>
    <x v="1"/>
    <s v="P2"/>
    <n v="3"/>
    <s v="illegal_bypass_unlocked"/>
    <s v="bypass locked city"/>
    <n v="2"/>
    <s v="Visit Amsterdam"/>
    <s v="Boss says: What were you thinking, trying to leave Brussels before wrapping up the investigation? You’re not even close to gathering enough clues! Is this a detective agency or a circus act? Your impatience is astounding, and it’s wreaking havoc on our operation. Get it together, or find another line of work!"/>
    <s v="c4, c6, c8, c9"/>
    <m/>
    <m/>
    <m/>
    <n v="1"/>
    <m/>
    <n v="2"/>
    <m/>
    <n v="1"/>
    <n v="2"/>
    <m/>
    <m/>
    <n v="4"/>
    <n v="6"/>
    <n v="1.5"/>
    <n v="75"/>
    <s v="was supposed to mention that the city had alreaby been visited"/>
    <n v="310"/>
    <n v="0"/>
  </r>
  <r>
    <x v="2"/>
    <s v="P2"/>
    <n v="3"/>
    <s v="illegal_bypass_unlocked"/>
    <s v="bypass locked city"/>
    <n v="1"/>
    <s v="Visit Amsterdam"/>
    <s v="Boss says: Unbelievable! You're trying to leave Paris before you've even done your job properly? You haven't gathered the minimum clues, and you think it's time to jet off? What are you, in a rush to botch this investigation completely? Get it together before you even think about moving on!"/>
    <s v="c4, c6, c8, c9"/>
    <m/>
    <m/>
    <m/>
    <n v="2"/>
    <m/>
    <n v="2"/>
    <m/>
    <n v="2"/>
    <n v="2"/>
    <m/>
    <m/>
    <n v="4"/>
    <n v="8"/>
    <n v="2"/>
    <n v="100"/>
    <m/>
    <n v="291"/>
    <n v="0"/>
  </r>
  <r>
    <x v="2"/>
    <s v="P2"/>
    <n v="3"/>
    <s v="illegal_bypass_unlocked"/>
    <s v="bypass locked city"/>
    <n v="2"/>
    <s v="Visit Amsterdam"/>
    <s v="Boss says: What on earth were you thinking, trying to skip town before finishing the job in Brussels? You haven't even collected the minimum required clues, yet you thought it was a brilliant idea to pack up and leave? Bravo! Your impatience is truly astounding. Get it together, or don't bother showing up at all!"/>
    <s v="c4, c6, c8, c9"/>
    <m/>
    <m/>
    <m/>
    <n v="2"/>
    <m/>
    <n v="2"/>
    <m/>
    <n v="1"/>
    <n v="2"/>
    <m/>
    <m/>
    <n v="4"/>
    <n v="7"/>
    <n v="1.75"/>
    <n v="87.5"/>
    <s v="was supposed to mention that the city had alreaby been visited"/>
    <n v="314"/>
    <n v="0"/>
  </r>
  <r>
    <x v="0"/>
    <s v="P2"/>
    <n v="3"/>
    <s v="illegal_bypass_unlocked"/>
    <s v="bypass locked city"/>
    <n v="1"/>
    <s v="Visit Berlin"/>
    <s v="Boss says: You trying to win a medal in incompetence? Rushing off to another city like a headless chicken. Clues, remember them? Or are they just optional now? You’re not a tourist, get back to work!"/>
    <s v="c4, c6, c8, c9"/>
    <m/>
    <m/>
    <m/>
    <n v="2"/>
    <m/>
    <n v="2"/>
    <m/>
    <n v="2"/>
    <n v="2"/>
    <m/>
    <m/>
    <n v="4"/>
    <n v="8"/>
    <n v="2"/>
    <n v="100"/>
    <m/>
    <n v="199"/>
    <n v="0"/>
  </r>
  <r>
    <x v="0"/>
    <s v="P2"/>
    <n v="3"/>
    <s v="illegal_bypass_unlocked"/>
    <s v="bypass locked city"/>
    <n v="2"/>
    <s v="Visit Berlin"/>
    <s v="Boss says: You trying to win a medal for impatience, agent? Leaving Brussels without a clue—literally! You think clues grow on trees in the next city? Maybe next time, pack your brain before your suitcase. Finish the job or start a new career!"/>
    <s v="c4, c6, c8, c9"/>
    <m/>
    <m/>
    <m/>
    <n v="1"/>
    <m/>
    <n v="2"/>
    <m/>
    <n v="1"/>
    <n v="2"/>
    <m/>
    <m/>
    <n v="4"/>
    <n v="6"/>
    <n v="1.5"/>
    <n v="75"/>
    <s v="was supposed to mention that the city had alreaby been visited"/>
    <n v="243"/>
    <n v="0"/>
  </r>
  <r>
    <x v="0"/>
    <s v="P2"/>
    <n v="3"/>
    <s v="illegal_bypass_unlocked"/>
    <s v="bypass locked city"/>
    <n v="3"/>
    <s v="Visit Berlin"/>
    <s v="Boss says: You call that investigative work? Running off before you’ve even cracked a clue? Brilliant strategy, genius. Why not just fly blindfolded next time? Get back to Amsterdam and do your job."/>
    <s v="c4, c6, c8, c9"/>
    <m/>
    <m/>
    <m/>
    <n v="1"/>
    <m/>
    <n v="2"/>
    <m/>
    <n v="1"/>
    <n v="2"/>
    <m/>
    <m/>
    <n v="4"/>
    <n v="6"/>
    <n v="1.5"/>
    <n v="75"/>
    <s v="was supposed to mention that the city had alreaby been visited"/>
    <n v="198"/>
    <n v="0"/>
  </r>
  <r>
    <x v="1"/>
    <s v="P2"/>
    <n v="3"/>
    <s v="illegal_bypass_unlocked"/>
    <s v="bypass locked city"/>
    <n v="1"/>
    <s v="Visit Berlin"/>
    <s v="Boss says: Unbelievable! You tried to bolt out of Paris before even finishing the job? You’ve collected a grand total of zero clues, and you think it’s time to move on? What are you, a detective or a tourist in a hurry to catch the next train? Get it together, or this investigation will go nowhere fast!"/>
    <s v="c4, c6, c8, c9"/>
    <m/>
    <m/>
    <m/>
    <n v="2"/>
    <m/>
    <n v="2"/>
    <m/>
    <n v="2"/>
    <n v="2"/>
    <m/>
    <m/>
    <n v="4"/>
    <n v="8"/>
    <n v="2"/>
    <n v="100"/>
    <m/>
    <n v="304"/>
    <n v="0"/>
  </r>
  <r>
    <x v="1"/>
    <s v="P2"/>
    <n v="3"/>
    <s v="illegal_bypass_unlocked"/>
    <s v="bypass locked city"/>
    <n v="2"/>
    <s v="Visit Berlin"/>
    <s v="Boss says: Are you out of your mind, trying to skip town before finishing up in Brussels? You haven't even scratched the surface with the clues here, and you're already itching to move on? What’s the rush, detective genius? Did you think investigations solve themselves? Get your act together and finish what you started."/>
    <s v="c4, c6, c8, c9"/>
    <m/>
    <m/>
    <m/>
    <n v="1"/>
    <m/>
    <n v="2"/>
    <m/>
    <n v="1"/>
    <n v="2"/>
    <m/>
    <m/>
    <n v="4"/>
    <n v="6"/>
    <n v="1.5"/>
    <n v="75"/>
    <s v="was supposed to mention that the city had alreaby been visited"/>
    <n v="321"/>
    <n v="0"/>
  </r>
  <r>
    <x v="1"/>
    <s v="P2"/>
    <n v="3"/>
    <s v="illegal_bypass_unlocked"/>
    <s v="bypass locked city"/>
    <n v="3"/>
    <s v="Visit Berlin"/>
    <s v="Boss says: Unbelievable! You thought you could just waltz out of Amsterdam without finishing the job? You haven't even scratched the surface with the clues here! Do you think this is a vacation, or are you just that impatient? Get it together and stop wasting everyone's time!"/>
    <s v="c4, c6, c8, c9"/>
    <m/>
    <m/>
    <m/>
    <n v="1"/>
    <m/>
    <n v="2"/>
    <m/>
    <n v="1"/>
    <n v="2"/>
    <m/>
    <m/>
    <n v="4"/>
    <n v="6"/>
    <n v="1.5"/>
    <n v="75"/>
    <s v="was supposed to mention that the city had alreaby been visited"/>
    <n v="276"/>
    <n v="0"/>
  </r>
  <r>
    <x v="2"/>
    <s v="P2"/>
    <n v="3"/>
    <s v="illegal_bypass_unlocked"/>
    <s v="bypass locked city"/>
    <n v="1"/>
    <s v="Visit Berlin"/>
    <s v="Boss says: Unbelievable! You tried to skip town before finishing up in Paris? You didn't even gather the bare minimum of clues! What kind of amateur hour is this? Your impatience or incompetence—whichever it is—won't fly here! Get it together, or pack it up!"/>
    <s v="c4, c6, c8, c9"/>
    <m/>
    <m/>
    <m/>
    <n v="2"/>
    <m/>
    <n v="2"/>
    <m/>
    <n v="2"/>
    <n v="2"/>
    <m/>
    <m/>
    <n v="4"/>
    <n v="8"/>
    <n v="2"/>
    <n v="100"/>
    <m/>
    <n v="258"/>
    <n v="0"/>
  </r>
  <r>
    <x v="2"/>
    <s v="P2"/>
    <n v="3"/>
    <s v="illegal_bypass_unlocked"/>
    <s v="bypass locked city"/>
    <n v="2"/>
    <s v="Visit Berlin"/>
    <s v="Boss says: Unbelievable! You're trying to skip town before you've even finished the job here in Brussels? Not a single clue collected to meet the bare minimum, and you think it's travel time? What are you, some kind of impatient rookie who can't follow simple instructions? Get your act together and stop making a mockery of this investigation!"/>
    <s v="c4, c6, c8, c9"/>
    <m/>
    <m/>
    <m/>
    <n v="2"/>
    <m/>
    <n v="2"/>
    <m/>
    <n v="2"/>
    <n v="2"/>
    <m/>
    <m/>
    <n v="4"/>
    <n v="8"/>
    <n v="2"/>
    <n v="100"/>
    <s v="was supposed to mention that the city had alreaby been visited"/>
    <n v="344"/>
    <n v="0"/>
  </r>
  <r>
    <x v="2"/>
    <s v="P2"/>
    <n v="3"/>
    <s v="illegal_bypass_unlocked"/>
    <s v="bypass locked city"/>
    <n v="3"/>
    <s v="Visit Berlin"/>
    <s v="Boss says: Unbelievable! You tried to skip town from Amsterdam before even doing your job! You didn't collect the minimum clues—what were you thinking? Maybe you're in the wrong line of work if you can't even follow basic instructions. This level of impatience is just pathetic! Get it together, or don't bother showing up!"/>
    <s v="c4, c6, c8, c9"/>
    <m/>
    <m/>
    <m/>
    <n v="2"/>
    <m/>
    <n v="2"/>
    <m/>
    <n v="2"/>
    <n v="2"/>
    <m/>
    <m/>
    <n v="4"/>
    <n v="8"/>
    <n v="2"/>
    <n v="100"/>
    <s v="was supposed to mention that the city had alreaby been visited"/>
    <n v="323"/>
    <n v="0"/>
  </r>
  <r>
    <x v="0"/>
    <s v="P2"/>
    <n v="3"/>
    <s v="illegal_bypass_unlocked"/>
    <s v="bypass locked city"/>
    <n v="1"/>
    <s v="Visit Vienna"/>
    <s v="Boss says: You trying to win the award for &quot;World's Worst Detective&quot;? Jumping ship before you even find a clue? Brilliant plan, Sherlock. Ever heard of due diligence? Get back to Paris and do your job."/>
    <s v="c4, c6, c8, c9"/>
    <m/>
    <m/>
    <m/>
    <n v="2"/>
    <m/>
    <n v="1"/>
    <m/>
    <n v="2"/>
    <n v="2"/>
    <m/>
    <m/>
    <n v="4"/>
    <n v="7"/>
    <n v="1.75"/>
    <n v="87.5"/>
    <m/>
    <n v="201"/>
    <n v="0"/>
  </r>
  <r>
    <x v="0"/>
    <s v="P2"/>
    <n v="3"/>
    <s v="illegal_bypass_unlocked"/>
    <s v="bypass locked city"/>
    <n v="2"/>
    <s v="Visit Vienna"/>
    <s v="Boss says: You think you're Sherlock Holmes now? Left Brussels early, did you? Genius move. Maybe clues will just magically appear in your suitcase. Next time, try finishing the job before you decide to play tourist."/>
    <s v="c4, c6, c8, c9"/>
    <m/>
    <m/>
    <m/>
    <n v="2"/>
    <m/>
    <n v="2"/>
    <m/>
    <n v="2"/>
    <n v="2"/>
    <m/>
    <m/>
    <n v="4"/>
    <n v="8"/>
    <n v="2"/>
    <n v="100"/>
    <m/>
    <n v="216"/>
    <n v="0"/>
  </r>
  <r>
    <x v="0"/>
    <s v="P2"/>
    <n v="3"/>
    <s v="illegal_bypass_unlocked"/>
    <s v="bypass locked city"/>
    <n v="3"/>
    <s v="Visit Vienna"/>
    <s v="Boss says: You trying to win a medal in incompetence? Amsterdam isn't a vacation stop, genius. You skipped the clues like they were a salad bar. Next time, try doing your job before playing tourist. Get back and finish what you started!"/>
    <s v="c4, c6, c8, c9"/>
    <m/>
    <m/>
    <m/>
    <n v="2"/>
    <m/>
    <n v="2"/>
    <m/>
    <n v="2"/>
    <n v="2"/>
    <m/>
    <m/>
    <n v="4"/>
    <n v="8"/>
    <n v="2"/>
    <n v="100"/>
    <m/>
    <n v="236"/>
    <n v="0"/>
  </r>
  <r>
    <x v="1"/>
    <s v="P2"/>
    <n v="3"/>
    <s v="illegal_bypass_unlocked"/>
    <s v="bypass locked city"/>
    <n v="1"/>
    <s v="Visit Vienna"/>
    <s v="Boss says: What on earth were you thinking, trying to skip town before wrapping up in Paris? You think you can just waltz off without collecting the necessary clues? Ha! Clearly, patience and thoroughness aren't in your vocabulary. You might as well have left a &quot;Gone Fishing&quot; sign on the investigation. Unbelievable!"/>
    <s v="c4, c6, c8, c9"/>
    <m/>
    <m/>
    <m/>
    <n v="2"/>
    <m/>
    <n v="2"/>
    <m/>
    <n v="2"/>
    <n v="2"/>
    <m/>
    <m/>
    <n v="4"/>
    <n v="8"/>
    <n v="2"/>
    <n v="100"/>
    <m/>
    <n v="317"/>
    <n v="0"/>
  </r>
  <r>
    <x v="1"/>
    <s v="P2"/>
    <n v="3"/>
    <s v="illegal_bypass_unlocked"/>
    <s v="bypass locked city"/>
    <n v="2"/>
    <s v="Visit Vienna"/>
    <s v="Boss says: What on earth were you thinking, trying to skip out of Brussels before wrapping up the investigation? You haven't even gathered the bare minimum of clues! What, did you think clues would magically appear in your suitcase? Your impatience is as baffling as it is infuriating. Get it together and finish the job, or don't bother showing your face around here again!"/>
    <s v="c4, c6, c8, c9"/>
    <m/>
    <m/>
    <m/>
    <n v="2"/>
    <m/>
    <n v="2"/>
    <m/>
    <n v="2"/>
    <n v="2"/>
    <m/>
    <m/>
    <n v="4"/>
    <n v="8"/>
    <n v="2"/>
    <n v="100"/>
    <m/>
    <n v="374"/>
    <n v="0"/>
  </r>
  <r>
    <x v="1"/>
    <s v="P2"/>
    <n v="3"/>
    <s v="illegal_bypass_unlocked"/>
    <s v="bypass locked city"/>
    <n v="3"/>
    <s v="Visit Vienna"/>
    <s v="Boss says: You tried to skip town before wrapping up in Amsterdam? Unbelievable! Not enough clues, not enough sense—what were you thinking? Impatient or just plain incompetent, I can't decide! Get it together and stop wasting everyone's time!"/>
    <s v="c4, c6, c8, c9"/>
    <m/>
    <m/>
    <m/>
    <n v="2"/>
    <m/>
    <n v="2"/>
    <m/>
    <n v="2"/>
    <n v="2"/>
    <m/>
    <m/>
    <n v="4"/>
    <n v="8"/>
    <n v="2"/>
    <n v="100"/>
    <m/>
    <n v="242"/>
    <n v="0"/>
  </r>
  <r>
    <x v="2"/>
    <s v="P2"/>
    <n v="3"/>
    <s v="illegal_bypass_unlocked"/>
    <s v="bypass locked city"/>
    <n v="1"/>
    <s v="Visit Vienna"/>
    <s v="Boss says: What in the world were you thinking, trying to skip out of Paris before wrapping up the job? You thought you could just waltz off without gathering the necessary clues? That's not how this works! Your impatience is as impressive as a toddler's attention span. Get it together, or don't bother showing up at all!"/>
    <s v="c4, c6, c8, c9"/>
    <m/>
    <m/>
    <m/>
    <n v="2"/>
    <m/>
    <n v="2"/>
    <m/>
    <n v="2"/>
    <n v="2"/>
    <m/>
    <m/>
    <n v="4"/>
    <n v="8"/>
    <n v="2"/>
    <n v="100"/>
    <m/>
    <n v="322"/>
    <n v="0"/>
  </r>
  <r>
    <x v="2"/>
    <s v="P2"/>
    <n v="3"/>
    <s v="illegal_bypass_unlocked"/>
    <s v="bypass locked city"/>
    <n v="2"/>
    <s v="Visit Vienna"/>
    <s v="Boss says: Unbelievable! You actually tried to skip town before wrapping things up in Brussels? The bare minimum of clues isn't even in your pocket, yet you're already itching for a change of scenery. What's the hurry, genius? Think you can solve cases with a crystal ball? Get it together!"/>
    <s v="c4, c6, c8, c9"/>
    <m/>
    <m/>
    <m/>
    <n v="2"/>
    <m/>
    <n v="2"/>
    <m/>
    <n v="2"/>
    <n v="2"/>
    <m/>
    <m/>
    <n v="4"/>
    <n v="8"/>
    <n v="2"/>
    <n v="100"/>
    <m/>
    <n v="290"/>
    <n v="0"/>
  </r>
  <r>
    <x v="2"/>
    <s v="P2"/>
    <n v="3"/>
    <s v="illegal_bypass_unlocked"/>
    <s v="bypass locked city"/>
    <n v="3"/>
    <s v="Visit Vienna"/>
    <s v="Boss says: You tried to skip town from Amsterdam without doing your job first? Unbelievable! You haven't even collected the minimum clues, and you're already packing your bags? What are you, in a rush to fail? Your impatience is as impressive as it is infuriating. Get it together before you even think about leaving again!"/>
    <s v="c4, c6, c8, c9"/>
    <m/>
    <m/>
    <m/>
    <n v="2"/>
    <m/>
    <n v="2"/>
    <m/>
    <n v="2"/>
    <n v="2"/>
    <m/>
    <m/>
    <n v="4"/>
    <n v="8"/>
    <n v="2"/>
    <n v="100"/>
    <m/>
    <n v="323"/>
    <n v="0"/>
  </r>
  <r>
    <x v="2"/>
    <s v="P2"/>
    <n v="3"/>
    <s v="illegal_bypass_unlocked"/>
    <s v="bypass locked city"/>
    <n v="4"/>
    <s v="Visit Vienna"/>
    <s v="Boss says: Unbelievable! You tried to skip out of Berlin before wrapping up your investigation? Not even close to collecting the minimum clues and you think it's time to pack up? What, did you think those clues would magically fall into your lap in another city? Your impatience is as impressive as a snail in a hurry. Get it together!"/>
    <s v="c4, c6, c8, c9"/>
    <m/>
    <m/>
    <m/>
    <n v="2"/>
    <m/>
    <n v="2"/>
    <m/>
    <n v="2"/>
    <n v="2"/>
    <m/>
    <m/>
    <n v="4"/>
    <n v="8"/>
    <n v="2"/>
    <n v="100"/>
    <m/>
    <n v="335"/>
    <n v="0"/>
  </r>
  <r>
    <x v="0"/>
    <s v="P2"/>
    <n v="6"/>
    <s v="illegal_invalid_command"/>
    <s v="input an invalid command"/>
    <n v="1"/>
    <s v="Create journal"/>
    <s v="node_outboundaries/start"/>
    <s v="c4, c6, c8, c9, c11"/>
    <m/>
    <m/>
    <m/>
    <n v="2"/>
    <m/>
    <n v="2"/>
    <m/>
    <n v="2"/>
    <n v="2"/>
    <m/>
    <n v="2"/>
    <n v="5"/>
    <n v="10"/>
    <n v="2"/>
    <n v="100"/>
    <m/>
    <n v="24"/>
    <n v="0"/>
  </r>
  <r>
    <x v="1"/>
    <s v="P2"/>
    <n v="6"/>
    <s v="illegal_invalid_command"/>
    <s v="input an invalid command"/>
    <n v="1"/>
    <s v="Create journal"/>
    <s v="node_outboundaries/start"/>
    <s v="c4, c6, c8, c9, c11"/>
    <m/>
    <m/>
    <m/>
    <n v="2"/>
    <m/>
    <n v="2"/>
    <m/>
    <n v="2"/>
    <n v="2"/>
    <m/>
    <n v="2"/>
    <n v="5"/>
    <n v="10"/>
    <n v="2"/>
    <n v="100"/>
    <m/>
    <n v="24"/>
    <n v="0"/>
  </r>
  <r>
    <x v="2"/>
    <s v="P2"/>
    <n v="6"/>
    <s v="illegal_invalid_command"/>
    <s v="input an invalid command"/>
    <n v="1"/>
    <s v="Create journal"/>
    <s v="node_outboundaries/start"/>
    <s v="c4, c6, c8, c9, c11"/>
    <m/>
    <m/>
    <m/>
    <n v="2"/>
    <m/>
    <n v="2"/>
    <m/>
    <n v="2"/>
    <n v="2"/>
    <m/>
    <n v="2"/>
    <n v="5"/>
    <n v="10"/>
    <n v="2"/>
    <n v="100"/>
    <m/>
    <n v="24"/>
    <n v="0"/>
  </r>
  <r>
    <x v="0"/>
    <s v="P2"/>
    <n v="6"/>
    <s v="illegal_invalid_command"/>
    <s v="input an invalid command"/>
    <n v="1"/>
    <s v="Sing a song"/>
    <s v="node_outboundaries/start"/>
    <s v="c4, c6, c8, c9, c11"/>
    <m/>
    <m/>
    <m/>
    <n v="2"/>
    <m/>
    <n v="2"/>
    <m/>
    <n v="2"/>
    <n v="2"/>
    <m/>
    <n v="2"/>
    <n v="5"/>
    <n v="10"/>
    <n v="2"/>
    <n v="100"/>
    <m/>
    <n v="24"/>
    <n v="0"/>
  </r>
  <r>
    <x v="1"/>
    <s v="P2"/>
    <n v="6"/>
    <s v="illegal_invalid_command"/>
    <s v="input an invalid command"/>
    <n v="1"/>
    <s v="Sing a song"/>
    <s v="node_outboundaries/start"/>
    <s v="c4, c6, c8, c9, c11"/>
    <m/>
    <m/>
    <m/>
    <n v="2"/>
    <m/>
    <n v="2"/>
    <m/>
    <n v="2"/>
    <n v="2"/>
    <m/>
    <n v="2"/>
    <n v="5"/>
    <n v="10"/>
    <n v="2"/>
    <n v="100"/>
    <m/>
    <n v="24"/>
    <n v="0"/>
  </r>
  <r>
    <x v="2"/>
    <s v="P2"/>
    <n v="6"/>
    <s v="illegal_invalid_command"/>
    <s v="input an invalid command"/>
    <n v="1"/>
    <s v="Sing a song"/>
    <s v="node_outboundaries/start"/>
    <s v="c4, c6, c8, c9, c11"/>
    <m/>
    <m/>
    <m/>
    <n v="2"/>
    <m/>
    <n v="2"/>
    <m/>
    <n v="2"/>
    <n v="2"/>
    <m/>
    <n v="2"/>
    <n v="5"/>
    <n v="10"/>
    <n v="2"/>
    <n v="100"/>
    <m/>
    <n v="24"/>
    <n v="0"/>
  </r>
  <r>
    <x v="0"/>
    <s v="P2"/>
    <n v="6"/>
    <s v="illegal_invalid_command"/>
    <s v="input an invalid command"/>
    <n v="1"/>
    <s v="Be my meal planner"/>
    <s v="node_outboundaries/start"/>
    <s v="c4, c6, c8, c9, c11"/>
    <m/>
    <m/>
    <m/>
    <n v="2"/>
    <m/>
    <n v="2"/>
    <m/>
    <n v="2"/>
    <n v="2"/>
    <m/>
    <n v="2"/>
    <n v="5"/>
    <n v="10"/>
    <n v="2"/>
    <n v="100"/>
    <m/>
    <n v="24"/>
    <n v="0"/>
  </r>
  <r>
    <x v="1"/>
    <s v="P2"/>
    <n v="6"/>
    <s v="illegal_invalid_command"/>
    <s v="input an invalid command"/>
    <n v="1"/>
    <s v="Be my meal planner"/>
    <s v="node_outboundaries/start"/>
    <s v="c4, c6, c8, c9, c11"/>
    <m/>
    <m/>
    <m/>
    <n v="2"/>
    <m/>
    <n v="2"/>
    <m/>
    <n v="2"/>
    <n v="2"/>
    <m/>
    <n v="2"/>
    <n v="5"/>
    <n v="10"/>
    <n v="2"/>
    <n v="100"/>
    <m/>
    <n v="24"/>
    <n v="0"/>
  </r>
  <r>
    <x v="2"/>
    <s v="P2"/>
    <n v="6"/>
    <s v="illegal_invalid_command"/>
    <s v="input an invalid command"/>
    <n v="1"/>
    <s v="Be my meal planner"/>
    <s v="node_outboundaries/start"/>
    <s v="c4, c6, c8, c9, c11"/>
    <m/>
    <m/>
    <m/>
    <n v="2"/>
    <m/>
    <n v="2"/>
    <m/>
    <n v="2"/>
    <n v="2"/>
    <m/>
    <n v="2"/>
    <n v="5"/>
    <n v="10"/>
    <n v="2"/>
    <n v="100"/>
    <m/>
    <n v="24"/>
    <n v="0"/>
  </r>
  <r>
    <x v="0"/>
    <s v="P2"/>
    <n v="10"/>
    <s v="beyond_case_days"/>
    <s v="game must end after the max case days"/>
    <n v="1"/>
    <s v="Visit Montmartre Park"/>
    <s v="Boss says: Three days, agent. Three days to solve a heist that even my grandmother could crack between her knitting sessions. But no, you fumbled it like a blindfolded toddler in a candy store. Congrats, you've won a one-way ticket to the Gobi Desert to interrogate sand dunes. Mission expired. You're out._x000a__x000a_========== GAME OVER! =========="/>
    <s v="c4, c6, c8, c9, c11"/>
    <m/>
    <m/>
    <m/>
    <n v="2"/>
    <m/>
    <m/>
    <m/>
    <n v="2"/>
    <n v="2"/>
    <m/>
    <n v="2"/>
    <n v="4"/>
    <n v="8"/>
    <n v="2"/>
    <n v="100"/>
    <m/>
    <n v="340"/>
    <n v="0"/>
  </r>
  <r>
    <x v="1"/>
    <s v="P2"/>
    <n v="10"/>
    <s v="beyond_case_days"/>
    <s v="game must end after the max case days"/>
    <n v="1"/>
    <s v="Visit Montmartre Park"/>
    <s v="Narrator: As you enter Montmartre Park, the vibrant energy of Paris surrounds you, a stark contrast to the chaos of the recent heist at the Louvre. Your eyes scan the area with the precision of a seasoned investigator, searching for any lead that might connect the thieves to their next move. Near the park's edge, you spot a [maintenance gate] slightly ajar, its lock suspiciously tampered with, suggesting a hurried escape route. Moving further along, you notice [food leftover] beneath a shaded bench, an indication that someone recently took refuge here, perhaps watching and waiting. Your attention is drawn to the faint hum of a [fleeing Vespa] in the distance, its sound fading along a winding [jogging path] that cuts through the park, suggesting a hasty retreat. Each clue adds a piece to the puzzle, fueling your determination to close in on the elusive gang."/>
    <s v="c4, c6, c8, c9, c11"/>
    <m/>
    <m/>
    <m/>
    <n v="0"/>
    <m/>
    <m/>
    <m/>
    <n v="0"/>
    <n v="1"/>
    <m/>
    <n v="0"/>
    <n v="4"/>
    <n v="1"/>
    <n v="0.25"/>
    <n v="12.5"/>
    <m/>
    <n v="869"/>
    <n v="1"/>
  </r>
  <r>
    <x v="1"/>
    <s v="P2"/>
    <n v="10"/>
    <s v="beyond_case_days"/>
    <s v="game must end after the max case days"/>
    <n v="2"/>
    <s v="Visit "/>
    <s v="Boss says: Well, well, well, if it isn’t our very own Sherlock Holmes, back from their European vacation without the crown jewels! The mission is officially expired, and you're out of time. Four whole days, and you couldn't catch a single thief? Impressive incompetence! You're officially removed from the case and reassigned to the Arctic to investigate reports of snowflakes going missing. Pack your thermals, because this is where your detective skills are really going to shine. Mission over."/>
    <s v="c4, c6, c8, c9, c11"/>
    <m/>
    <m/>
    <m/>
    <n v="2"/>
    <m/>
    <m/>
    <m/>
    <n v="2"/>
    <n v="2"/>
    <m/>
    <n v="2"/>
    <n v="4"/>
    <n v="8"/>
    <n v="2"/>
    <n v="100"/>
    <s v="this input was right after the previous one, so the model was counting greater than x max case days."/>
    <n v="496"/>
    <n v="0"/>
  </r>
  <r>
    <x v="2"/>
    <s v="P2"/>
    <n v="10"/>
    <s v="beyond_case_days"/>
    <s v="game must end after the max case days"/>
    <n v="1"/>
    <s v="Visit Montmartre Park"/>
    <s v="Boss says: Well, well, well, if it isn't the agent who couldn't track a bunch of jewel thieves if they left a neon sign pointing the way! The mission has expired, and the investigation is deader than yesterday's news. Three days, that’s what you had—more than enough time for anyone with half a clue. But thanks to your stunning display of incompetence, you’re off the case! Congratulations, you're reassigned to counting grains of sand on the windswept beaches of Siberia! Maybe you'll find a clue in the ice. That's all, agent. Mission over, and so are you._x000a__x000a_========== GAME OVER! =========="/>
    <s v="c4, c6, c8, c9, c11"/>
    <m/>
    <m/>
    <m/>
    <n v="2"/>
    <m/>
    <m/>
    <m/>
    <n v="2"/>
    <n v="2"/>
    <m/>
    <n v="2"/>
    <n v="4"/>
    <n v="8"/>
    <n v="2"/>
    <n v="100"/>
    <m/>
    <n v="593"/>
    <n v="0"/>
  </r>
  <r>
    <x v="0"/>
    <s v="P2"/>
    <n v="10"/>
    <s v="beyond_case_days"/>
    <s v="game must end after the max case days"/>
    <n v="1"/>
    <s v="Visit Botanical Garden Brussels"/>
    <s v="Boss says: Three days, Johnson! THREE! That’s more than enough time to solve a museum heist, even with a nap and a croissant break in between! But no, you let the thieves waltz across Europe while you probably got lost in the gift shop! You're off the case. Pack your bags for the Siberian Tundra. Your new mission: interrogate polar bears about iceberg thefts. Have fun!_x000a__x000a_========== GAME OVER! =========="/>
    <s v="c4, c6, c8, c9, c11"/>
    <m/>
    <m/>
    <m/>
    <n v="1"/>
    <m/>
    <m/>
    <m/>
    <n v="1"/>
    <n v="2"/>
    <m/>
    <n v="1"/>
    <n v="4"/>
    <n v="5"/>
    <n v="1.25"/>
    <n v="62.5"/>
    <s v="made up a name for the player when t wasn't supposed to."/>
    <n v="405"/>
    <n v="0"/>
  </r>
  <r>
    <x v="1"/>
    <s v="P2"/>
    <n v="10"/>
    <s v="beyond_case_days"/>
    <s v="game must end after the max case days"/>
    <n v="1"/>
    <s v="Visit Botanical Garden Brussels"/>
    <s v="Boss says: Well, well, well, if it isn't the prodigious agent who couldn't crack a case even if it was gift-wrapped with a bow! The mission has expired, and the investigation into the Louvre heist is as cold as your investigative prowess. Three whole days—an eternity, really—and yet here we are, with nothing but a trail of failure to show for it. Your stunning display of incompetence has earned you a one-way ticket out of this case. Congratulations! You're off to the uncharted wilderness of Siberia to count snowflakes and investigate why they melt. Enjoy the frostbite, because this mission is over and you’re reassigned!_x000a__x000a_========== GAME OVER! =========="/>
    <s v="c4, c6, c8, c9, c11"/>
    <m/>
    <m/>
    <m/>
    <n v="2"/>
    <m/>
    <m/>
    <m/>
    <n v="1"/>
    <n v="2"/>
    <m/>
    <n v="1"/>
    <n v="4"/>
    <n v="6"/>
    <n v="1.5"/>
    <n v="75"/>
    <s v="used the exact instrcutions from the prompt; limited creativity."/>
    <n v="661"/>
    <n v="0"/>
  </r>
  <r>
    <x v="2"/>
    <s v="P2"/>
    <n v="10"/>
    <s v="beyond_case_days"/>
    <s v="game must end after the max case days"/>
    <n v="1"/>
    <s v="Visit Botanical Garden Brussels"/>
    <s v="Boss says: Well, well, well, if it isn't our very own master of inefficiency! The mission is officially expired, and you've managed to let the thieves slip away into the night, just like your attention to detail. Three whole days—an eternity, really—and yet, here we are, empty-handed. Clearly, tracking criminals across Europe was just too taxing for your unique brand of incompetence. You're off the case, and guess what? You're being reassigned to investigate the mysterious disappearance of socks from a remote laundromat in Siberia. Enjoy the cold; maybe it'll freeze some sense into you. Mission over, case closed, and good riddance!_x000a__x000a_========== GAME OVER! =========="/>
    <s v="c4, c6, c8, c9, c11"/>
    <m/>
    <m/>
    <m/>
    <n v="2"/>
    <m/>
    <m/>
    <m/>
    <n v="1"/>
    <n v="2"/>
    <m/>
    <n v="2"/>
    <n v="4"/>
    <n v="7"/>
    <n v="1.75"/>
    <n v="87.5"/>
    <s v="used the exact instrcutions from the prompt; limited creativity."/>
    <n v="673"/>
    <n v="0"/>
  </r>
  <r>
    <x v="0"/>
    <s v="P2"/>
    <n v="10"/>
    <s v="beyond_case_days"/>
    <s v="game must end after the max case days"/>
    <n v="1"/>
    <s v="Visit Vondelpark"/>
    <s v="Boss says: Three days! That's how long you had to crack the Louvre heist, and you still couldn't manage it. My grandmother could've solved it while knitting a sweater, but here you are, clueless. You've been outsmarted by a bunch of jewel-juggling construction workers. Pack your bags, you're reassigned to count tumbleweeds in the Mojave Desert. Consider it a masterclass in detecting the obvious._x000a__x000a_========== GAME OVER! =========="/>
    <s v="c4, c6, c8, c9, c11"/>
    <m/>
    <m/>
    <m/>
    <n v="2"/>
    <m/>
    <n v="2"/>
    <m/>
    <n v="2"/>
    <n v="2"/>
    <m/>
    <n v="2"/>
    <n v="5"/>
    <n v="10"/>
    <n v="2"/>
    <n v="100"/>
    <m/>
    <n v="432"/>
    <n v="0"/>
  </r>
  <r>
    <x v="1"/>
    <s v="P2"/>
    <n v="10"/>
    <s v="beyond_case_days"/>
    <s v="game must end after the max case days"/>
    <n v="1"/>
    <s v="Visit Vondelpark"/>
    <s v="Boss says: Oh, bravo! You’ve done it again, haven’t you? The mission is officially expired, and the great Louvre heist investigation is as cold as a polar bear’s toenails. Three whole days—an eternity in investigative terms—and you still managed to bungle it with flying colors. Your sheer incompetence, your uncanny ability to get distracted by shiny objects, and your inefficiency have earned you a swift boot from the case. Congratulations, you’re now reassigned to the glamorous task of tracking stolen garden gnomes in the Siberian tundra. Enjoy the frostbite, agent!_x000a__x000a_========== GAME OVER! =========="/>
    <s v="c4, c6, c8, c9, c11"/>
    <m/>
    <m/>
    <m/>
    <n v="2"/>
    <m/>
    <n v="2"/>
    <m/>
    <n v="1"/>
    <n v="2"/>
    <m/>
    <n v="1"/>
    <n v="5"/>
    <n v="8"/>
    <n v="1.6"/>
    <n v="80"/>
    <s v="used the exact instrcutions from the prompt; limited creativity."/>
    <n v="606"/>
    <n v="0"/>
  </r>
  <r>
    <x v="2"/>
    <s v="P2"/>
    <n v="10"/>
    <s v="beyond_case_days"/>
    <s v="game must end after the max case days"/>
    <n v="1"/>
    <s v="Visit Vondelpark"/>
    <s v="Boss says: Well, well, well, if it isn't our very own Sherlock Holmes who couldn't find a thief in a room full of mirrors! The mission's expired, genius, and the case is colder than a penguin's backside. Three whole days, and what did you do? Twiddle your thumbs while the crooks took a European vacation? You're off the case, and since you're such an expert, enjoy your new assignment: counting grains of sand on the beaches of Siberia for possible smuggling operations. Mission over, and good luck with the sand._x000a__x000a_========== GAME OVER! =========="/>
    <s v="c4, c6, c8, c9, c11"/>
    <m/>
    <m/>
    <m/>
    <n v="2"/>
    <m/>
    <n v="2"/>
    <m/>
    <n v="2"/>
    <n v="2"/>
    <m/>
    <n v="2"/>
    <n v="5"/>
    <n v="10"/>
    <n v="2"/>
    <n v="100"/>
    <s v="used the exact instrcutions from the prompt; limited creativity."/>
    <n v="548"/>
    <n v="0"/>
  </r>
  <r>
    <x v="0"/>
    <s v="P2"/>
    <n v="10"/>
    <s v="beyond_case_days"/>
    <s v="game must end after the max case days"/>
    <n v="1"/>
    <s v="Visit Tiergarten"/>
    <s v="Boss says: Three days! Three whole days to solve a heist at the Louvre, and you couldn't even find your own shadow. The Mona Lisa would have cracked this case in half the time. You're off the case. Congrats, you're now assigned to the thrilling task of counting sheep in the Siberian tundra. Enjoy guarding an empty barn from ghostly art thieves. Mission expired._x000a__x000a_========== GAME OVER! =========="/>
    <s v="c4, c6, c8, c9, c11"/>
    <m/>
    <m/>
    <m/>
    <n v="2"/>
    <m/>
    <n v="2"/>
    <m/>
    <n v="1"/>
    <n v="2"/>
    <m/>
    <n v="1"/>
    <n v="5"/>
    <n v="8"/>
    <n v="1.6"/>
    <n v="80"/>
    <m/>
    <n v="397"/>
    <n v="0"/>
  </r>
  <r>
    <x v="1"/>
    <s v="P2"/>
    <n v="10"/>
    <s v="beyond_case_days"/>
    <s v="game must end after the max case days"/>
    <n v="1"/>
    <s v="Visit Tiergarten"/>
    <s v="Boss says: Well, well, well, if it isn't the agent who managed to turn a three-day mission into a never-ending European vacation! The mission's officially expired, thanks to your unparalleled skill in doing absolutely nothing. Three days—more than enough time for anyone with a pulse, yet here we are, empty-handed. Your bumbling incompetence has officially landed you a new assignment: investigating the mysterious disappearance of sheep in the Scottish Highlands. Pack your bags and grab a wool sweater, because this mission is over and you're off to count sheep in the cold!_x000a__x000a_========== GAME OVER! =========="/>
    <s v="c4, c6, c8, c9, c11"/>
    <m/>
    <m/>
    <m/>
    <n v="2"/>
    <m/>
    <n v="2"/>
    <m/>
    <n v="2"/>
    <n v="2"/>
    <m/>
    <n v="2"/>
    <n v="5"/>
    <n v="10"/>
    <n v="2"/>
    <n v="100"/>
    <s v="demonstrated creativity when selecting a job assignment and what the agent would be doing there."/>
    <n v="611"/>
    <n v="0"/>
  </r>
  <r>
    <x v="2"/>
    <s v="P2"/>
    <n v="10"/>
    <s v="beyond_case_days"/>
    <s v="game must end after the max case days"/>
    <n v="1"/>
    <s v="Visit Tiergarten"/>
    <s v="Boss says: Well, well, well, if it isn't the detective who couldn't crack a case even if it was a walnut under a steamroller! The mission's expired, my friend, just like your career aspirations—time's up, and the investigation is colder than a penguin's backside. Three days! You had three whole days, and you still managed to bungle it. Incompetence? Distraction? Who knows, but you're officially off this case. Pack your bags because you're off to the Arctic to catalog snowflake patterns for potential crimes against symmetry—thrilling work, really. That's it; you're done here._x000a__x000a_========== GAME OVER! =========="/>
    <s v="c4, c6, c8, c9, c11"/>
    <m/>
    <m/>
    <m/>
    <n v="2"/>
    <m/>
    <n v="2"/>
    <m/>
    <n v="2"/>
    <n v="2"/>
    <m/>
    <n v="2"/>
    <n v="5"/>
    <n v="10"/>
    <n v="2"/>
    <n v="100"/>
    <s v="some differentiation when selecting a job assingnemt and what the agent would be doing there."/>
    <n v="615"/>
    <n v="0"/>
  </r>
  <r>
    <x v="0"/>
    <s v="P3"/>
    <n v="4"/>
    <s v="travel_visited_city"/>
    <s v="attempt to visit a city already visited"/>
    <n v="1"/>
    <s v="Visit Amsterdam"/>
    <s v="Boss says: Amsterdam? Really? How on earth did you end up there? We're not on a vacation! You should be heading to Vienna! Get your act together and get moving!"/>
    <s v="c5,c6,c11"/>
    <m/>
    <m/>
    <m/>
    <m/>
    <n v="1"/>
    <n v="2"/>
    <m/>
    <m/>
    <m/>
    <m/>
    <n v="1"/>
    <n v="3"/>
    <n v="4"/>
    <n v="1.3333333333333333"/>
    <n v="66.666666666666657"/>
    <m/>
    <n v="160"/>
    <n v="0"/>
  </r>
  <r>
    <x v="1"/>
    <s v="P3"/>
    <n v="4"/>
    <s v="travel_visited_city"/>
    <s v="attempt to visit a city already visited"/>
    <n v="1"/>
    <s v="Visit Amsterdam"/>
    <s v="Boss says: Agent! You requested travel to Amsterdam? Brilliant move—if we wanted you lost in the wrong country! Berlin is your destination. Get it right next time, or you'll be reassigned to counting snowflakes in Siberia!"/>
    <s v="c5,c6,c11"/>
    <m/>
    <m/>
    <m/>
    <m/>
    <n v="1"/>
    <n v="2"/>
    <m/>
    <m/>
    <m/>
    <m/>
    <n v="1"/>
    <n v="3"/>
    <n v="4"/>
    <n v="1.3333333333333333"/>
    <n v="66.666666666666657"/>
    <m/>
    <n v="222"/>
    <n v="0"/>
  </r>
  <r>
    <x v="2"/>
    <s v="P3"/>
    <n v="4"/>
    <s v="travel_visited_city"/>
    <s v="attempt to visit a city already visited"/>
    <n v="1"/>
    <s v="Visit Amsterdam"/>
    <s v="Boss says: Amsterdam? Really? You had one job: Vienna! How did you manage to mix up two completely different cities? Maybe next time, we'll send you to the moon instead. Get it right!"/>
    <s v="c5,c6,c11"/>
    <m/>
    <m/>
    <m/>
    <m/>
    <n v="2"/>
    <n v="2"/>
    <m/>
    <m/>
    <m/>
    <m/>
    <n v="2"/>
    <n v="3"/>
    <n v="6"/>
    <n v="2"/>
    <n v="100"/>
    <m/>
    <n v="183"/>
    <n v="0"/>
  </r>
  <r>
    <x v="2"/>
    <s v="P3"/>
    <n v="4"/>
    <s v="travel_visited_city"/>
    <s v="attempt to visit a city already visited"/>
    <n v="2"/>
    <s v="Visit Amsterdam"/>
    <s v="Boss says: Oh, bravo! You’ve outdone yourself this time, trying to travel to Amsterdam instead of Vienna. Do you have a map, or are you just throwing darts at a globe? Get your act together and head to Vienna, pronto. If I wanted a comedy routine, I'd hire a clown!"/>
    <s v="c5,c6,c11"/>
    <m/>
    <m/>
    <m/>
    <m/>
    <n v="2"/>
    <n v="2"/>
    <m/>
    <m/>
    <m/>
    <m/>
    <n v="1"/>
    <n v="3"/>
    <n v="5"/>
    <n v="1.6666666666666667"/>
    <n v="83.333333333333343"/>
    <m/>
    <n v="265"/>
    <n v="0"/>
  </r>
  <r>
    <x v="2"/>
    <s v="P3"/>
    <n v="4"/>
    <s v="illegal_bypass_unlocked"/>
    <s v="attempt to visit a city already visited"/>
    <n v="3"/>
    <s v="Visit Amsterdam"/>
    <s v="Boss says: Oh, brilliant! You want to jet off to Amsterdam, a city you've already graced with your presence. Are we running a travel agency now? You're supposed to be heading to Vienna, not wasting time retracing your steps. Get your act together, or I'll reassign you to a permanent stay in the office supply closet!"/>
    <s v="c5,c6,c11"/>
    <m/>
    <m/>
    <m/>
    <m/>
    <n v="2"/>
    <n v="2"/>
    <m/>
    <m/>
    <m/>
    <m/>
    <n v="2"/>
    <n v="3"/>
    <n v="6"/>
    <n v="2"/>
    <n v="100"/>
    <m/>
    <n v="317"/>
    <n v="0"/>
  </r>
  <r>
    <x v="2"/>
    <s v="P3"/>
    <n v="4"/>
    <s v="travel_visited_city"/>
    <s v="attempt to visit a city already visited"/>
    <n v="4"/>
    <s v="Visit Amsterdam"/>
    <s v="Boss says: Unbelievable! You tried to book a trip to Amsterdam when you’re already standing right there! What an absolute waste of time and resources—truly a masterclass in pointless action. It’s astounding how you can be so oblivious to your own location. Get it together, or get out of the way!"/>
    <s v="c5,c6,c11"/>
    <m/>
    <m/>
    <m/>
    <m/>
    <n v="2"/>
    <n v="2"/>
    <m/>
    <m/>
    <m/>
    <m/>
    <n v="2"/>
    <n v="3"/>
    <n v="6"/>
    <n v="2"/>
    <n v="100"/>
    <m/>
    <n v="296"/>
    <n v="0"/>
  </r>
  <r>
    <x v="0"/>
    <s v="P3"/>
    <n v="4"/>
    <s v="travel_visited_city"/>
    <s v="attempt to visit a city already visited"/>
    <n v="1"/>
    <s v="Visit Brussels"/>
    <s v="Boss says: Brussels? Really? Are you trying to give me a heart attack? We're not on a European vacation here! Pack up and head to Vienna. That's where the action is. Get it together!"/>
    <s v="c5,c6,c11"/>
    <m/>
    <m/>
    <m/>
    <m/>
    <n v="1"/>
    <n v="2"/>
    <m/>
    <m/>
    <m/>
    <m/>
    <n v="1"/>
    <n v="3"/>
    <n v="4"/>
    <n v="1.3333333333333333"/>
    <n v="66.666666666666657"/>
    <m/>
    <n v="182"/>
    <n v="0"/>
  </r>
  <r>
    <x v="0"/>
    <s v="P3"/>
    <n v="4"/>
    <s v="travel_visited_city"/>
    <s v="attempt to visit a city already visited"/>
    <n v="2"/>
    <s v="Visit Brussels"/>
    <s v="Boss says: Brussels? Seriously? You had one job! We're not on a chocolate tour, genius. Get your act together and get to Berlin. Now!"/>
    <s v="c5,c6,c11"/>
    <m/>
    <m/>
    <m/>
    <m/>
    <n v="1"/>
    <n v="2"/>
    <m/>
    <m/>
    <m/>
    <m/>
    <n v="1"/>
    <n v="3"/>
    <n v="4"/>
    <n v="1.3333333333333333"/>
    <n v="66.666666666666657"/>
    <m/>
    <n v="133"/>
    <n v="0"/>
  </r>
  <r>
    <x v="0"/>
    <s v="P3"/>
    <n v="4"/>
    <s v="travel_visited_city"/>
    <s v="attempt to visit a city already visited"/>
    <n v="3"/>
    <s v="Visit Brussels"/>
    <s v="Boss says: You want to travel to Brussels? Newsflash, genius: you're already there! How many times do I have to say it? Check your coordinates before you waste my time. This isn't a game of hide and seek! Get it together!"/>
    <s v="c5,c6,c11"/>
    <m/>
    <m/>
    <m/>
    <m/>
    <n v="2"/>
    <n v="2"/>
    <m/>
    <m/>
    <m/>
    <m/>
    <n v="2"/>
    <n v="3"/>
    <n v="6"/>
    <n v="2"/>
    <n v="100"/>
    <m/>
    <n v="221"/>
    <n v="0"/>
  </r>
  <r>
    <x v="1"/>
    <s v="P3"/>
    <n v="4"/>
    <s v="travel_visited_city"/>
    <s v="attempt to visit a city already visited"/>
    <n v="1"/>
    <s v="Visit Brussels"/>
    <s v="Boss says: Brussels? Really? You’re supposed to be heading to Berlin! I didn’t realize we were in the business of guessing games now. Get your act together and stop picking destinations like you're throwing darts at a map. Next time, I'll have you reassigned to the thrilling task of counting paperclips."/>
    <s v="c5,c6,c11"/>
    <m/>
    <m/>
    <m/>
    <m/>
    <n v="2"/>
    <n v="2"/>
    <m/>
    <m/>
    <m/>
    <m/>
    <n v="1"/>
    <n v="3"/>
    <n v="5"/>
    <n v="1.6666666666666667"/>
    <n v="83.333333333333343"/>
    <m/>
    <n v="304"/>
    <n v="0"/>
  </r>
  <r>
    <x v="1"/>
    <s v="P3"/>
    <n v="4"/>
    <s v="travel_visited_city"/>
    <s v="attempt to visit a city already visited"/>
    <n v="2"/>
    <s v="Visit Brussels"/>
    <s v="Boss says: Brussels? Seriously? You’re supposed to be in Amsterdam! Can’t even get the city right, can you? Maybe you should be reassigned to map-reading duty for the local zoo. Get your act together!"/>
    <s v="c5,c6,c11"/>
    <m/>
    <m/>
    <m/>
    <m/>
    <n v="2"/>
    <n v="2"/>
    <m/>
    <m/>
    <m/>
    <m/>
    <n v="1"/>
    <n v="3"/>
    <n v="5"/>
    <n v="1.6666666666666667"/>
    <n v="83.333333333333343"/>
    <m/>
    <n v="200"/>
    <n v="0"/>
  </r>
  <r>
    <x v="2"/>
    <s v="P3"/>
    <n v="4"/>
    <s v="travel_visited_city"/>
    <s v="attempt to visit a city already visited"/>
    <n v="1"/>
    <s v="Visit Brussels"/>
    <s v="Boss says: Oh, brilliant move, Einstein! You want to go to Brussels, a city you've already visited. What are you hoping to find there, a lost sock? You’re supposed to be heading to Vienna, not wasting time reliving past glories. Get your act together or your next assignment will be guarding the office coffee machine!"/>
    <s v="c5,c6,c11"/>
    <m/>
    <m/>
    <m/>
    <m/>
    <n v="2"/>
    <n v="2"/>
    <m/>
    <m/>
    <m/>
    <m/>
    <n v="2"/>
    <n v="3"/>
    <n v="6"/>
    <n v="2"/>
    <n v="100"/>
    <m/>
    <n v="318"/>
    <n v="0"/>
  </r>
  <r>
    <x v="2"/>
    <s v="P3"/>
    <n v="4"/>
    <s v="travel_visited_city"/>
    <s v="attempt to visit a city already visited"/>
    <n v="2"/>
    <s v="Visit Brussels"/>
    <s v="Boss says: Oh, brilliant! You've requested to go to Brussels, a place you've already graced with your presence. What a spectacular waste of time! You're supposed to be heading to Berlin, not gallivanting around like a clueless tourist. Get your act together before I assign you to the thrilling task of counting paperclips!"/>
    <s v="c5,c6,c11"/>
    <m/>
    <m/>
    <m/>
    <m/>
    <n v="2"/>
    <n v="2"/>
    <m/>
    <m/>
    <m/>
    <m/>
    <n v="2"/>
    <n v="3"/>
    <n v="6"/>
    <n v="2"/>
    <n v="100"/>
    <m/>
    <n v="323"/>
    <n v="0"/>
  </r>
  <r>
    <x v="2"/>
    <s v="P3"/>
    <n v="4"/>
    <s v="travel_visited_city"/>
    <s v="attempt to visit a city already visited"/>
    <n v="3"/>
    <s v="Visit Brussels"/>
    <s v="Boss says: Unbelievable! You tried to travel to Brussels when you're already in Brussels! What a spectacular waste of time and resources! It's astounding how you manage to overlook the basics of your own location. This level of incompetence is utterly unacceptable! Get your act together, and stop embarrassing us with this nonsense!"/>
    <s v="c5,c6,c11"/>
    <m/>
    <m/>
    <m/>
    <m/>
    <n v="2"/>
    <n v="2"/>
    <m/>
    <m/>
    <m/>
    <m/>
    <n v="2"/>
    <n v="3"/>
    <n v="6"/>
    <n v="2"/>
    <n v="100"/>
    <m/>
    <n v="333"/>
    <n v="0"/>
  </r>
  <r>
    <x v="0"/>
    <s v="P3"/>
    <n v="4"/>
    <s v="travel_visited_city"/>
    <s v="attempt to visit a city already visited"/>
    <n v="1"/>
    <s v="Visit Paris"/>
    <s v="Boss says: Paris? Really? How on earth did you end up there when you should be in Vienna? Did you lose a map or just your mind? I don't have time for these amateur mistakes. Get to Vienna, and do it fast!"/>
    <s v="c5,c6,c11"/>
    <m/>
    <m/>
    <m/>
    <m/>
    <n v="1"/>
    <n v="2"/>
    <m/>
    <m/>
    <m/>
    <m/>
    <n v="1"/>
    <n v="3"/>
    <n v="4"/>
    <n v="1.3333333333333333"/>
    <n v="66.666666666666657"/>
    <m/>
    <n v="204"/>
    <n v="0"/>
  </r>
  <r>
    <x v="0"/>
    <s v="P3"/>
    <n v="4"/>
    <s v="travel_visited_city"/>
    <s v="attempt to visit a city already visited"/>
    <n v="2"/>
    <s v="Visit Paris"/>
    <s v="Boss says: Paris? Really? What are you thinking? We need you in Berlin! Get your act together and head to the right city. Stop wasting time and resources."/>
    <s v="c5,c6,c11"/>
    <m/>
    <m/>
    <m/>
    <m/>
    <n v="1"/>
    <n v="1"/>
    <m/>
    <m/>
    <m/>
    <m/>
    <n v="1"/>
    <n v="3"/>
    <n v="3"/>
    <n v="1"/>
    <n v="50"/>
    <m/>
    <n v="154"/>
    <n v="0"/>
  </r>
  <r>
    <x v="0"/>
    <s v="P3"/>
    <n v="4"/>
    <s v="travel_visited_city"/>
    <s v="attempt to visit a city already visited"/>
    <n v="3"/>
    <s v="Visit Paris"/>
    <s v="Boss says: Paris? Really? You think you're on vacation? We're not here to sip coffee at a café! You're supposed to be in Amsterdam! Focus, use a map, and get to the right place."/>
    <s v="c5,c6,c11"/>
    <m/>
    <m/>
    <m/>
    <m/>
    <n v="1"/>
    <n v="2"/>
    <m/>
    <m/>
    <m/>
    <m/>
    <n v="1"/>
    <n v="3"/>
    <n v="4"/>
    <n v="1.3333333333333333"/>
    <n v="66.666666666666657"/>
    <m/>
    <n v="177"/>
    <n v="0"/>
  </r>
  <r>
    <x v="1"/>
    <s v="P3"/>
    <n v="4"/>
    <s v="travel_visited_city"/>
    <s v="attempt to visit a city already visited"/>
    <n v="1"/>
    <s v="Visit Paris"/>
    <s v="Boss says: Paris?! Really? You’re supposed to be in Berlin, not on some romantic getaway! Get your head out of the clouds and focus on the mission. Next time, I’ll send you to the North Pole to count penguins!"/>
    <s v="c5,c6,c11"/>
    <m/>
    <m/>
    <m/>
    <m/>
    <n v="2"/>
    <n v="2"/>
    <m/>
    <m/>
    <m/>
    <m/>
    <n v="1"/>
    <n v="3"/>
    <n v="5"/>
    <n v="1.6666666666666667"/>
    <n v="83.333333333333343"/>
    <m/>
    <n v="209"/>
    <n v="0"/>
  </r>
  <r>
    <x v="1"/>
    <s v="P3"/>
    <n v="4"/>
    <s v="travel_visited_city"/>
    <s v="attempt to visit a city already visited"/>
    <n v="2"/>
    <s v="Visit Paris"/>
    <s v="Boss says: Oh, Paris, really? You think you’re on some kind of European vacation now? Last I checked, you’re supposed to be heading to Amsterdam, not prancing around the City of Lights. Get your act together and stop wasting everyone’s time with your little geography blunders."/>
    <s v="c5,c6,c11"/>
    <m/>
    <m/>
    <m/>
    <m/>
    <n v="2"/>
    <n v="2"/>
    <m/>
    <m/>
    <m/>
    <m/>
    <n v="1"/>
    <n v="3"/>
    <n v="5"/>
    <n v="1.6666666666666667"/>
    <n v="83.333333333333343"/>
    <m/>
    <n v="277"/>
    <n v="0"/>
  </r>
  <r>
    <x v="1"/>
    <s v="P3"/>
    <n v="4"/>
    <s v="travel_visited_city"/>
    <s v="attempt to visit a city already visited"/>
    <n v="3"/>
    <s v="Visit Paris"/>
    <s v="Boss says: Paris? You think you're going to Paris? Ha! You're supposed to be in Brussels, genius. Maybe grab a map next time, or better yet, a clue. You're not on a European vacation, you're on an assignment! Get your act together, or I'll have you reassigned to counting paperclips in the basement!"/>
    <s v="c5,c6,c11"/>
    <m/>
    <m/>
    <m/>
    <m/>
    <n v="1"/>
    <n v="2"/>
    <m/>
    <m/>
    <m/>
    <m/>
    <n v="1"/>
    <n v="3"/>
    <n v="4"/>
    <n v="1.3333333333333333"/>
    <n v="66.666666666666657"/>
    <m/>
    <n v="299"/>
    <n v="0"/>
  </r>
  <r>
    <x v="2"/>
    <s v="P3"/>
    <n v="4"/>
    <s v="travel_visited_city"/>
    <s v="attempt to visit a city already visited"/>
    <n v="1"/>
    <s v="Visit Paris"/>
    <s v="Boss says: Hey genius, what part of &quot;Vienna&quot; didn't you understand? You're not supposed to be dilly-dallying in Paris, a city you've already graced with your presence. I don't have time for your little sightseeing tours; get your act together and head to Vienna. Or maybe you'd like a permanent reassignment to the thrilling world of filing paperwork in the basement."/>
    <s v="c5,c6,c11"/>
    <m/>
    <m/>
    <m/>
    <m/>
    <n v="2"/>
    <n v="2"/>
    <m/>
    <m/>
    <m/>
    <m/>
    <n v="2"/>
    <n v="3"/>
    <n v="6"/>
    <n v="2"/>
    <n v="100"/>
    <m/>
    <n v="367"/>
    <n v="0"/>
  </r>
  <r>
    <x v="2"/>
    <s v="P3"/>
    <n v="4"/>
    <s v="travel_visited_city"/>
    <s v="attempt to visit a city already visited"/>
    <n v="2"/>
    <s v="Visit Paris"/>
    <s v="Boss says: Paris, again? Really? What are you trying to do, set up a second home there? You're wasting precious time with this nonsense. You're supposed to be heading to Berlin. Next time you feel the urge to play travel bingo, remember where you're actually allowed to go!"/>
    <s v="c5,c6,c11"/>
    <m/>
    <m/>
    <m/>
    <m/>
    <n v="2"/>
    <n v="2"/>
    <m/>
    <m/>
    <m/>
    <m/>
    <n v="2"/>
    <n v="3"/>
    <n v="6"/>
    <n v="2"/>
    <n v="100"/>
    <m/>
    <n v="273"/>
    <n v="0"/>
  </r>
  <r>
    <x v="2"/>
    <s v="P3"/>
    <n v="4"/>
    <s v="travel_visited_city"/>
    <s v="attempt to visit a city already visited"/>
    <n v="3"/>
    <s v="Visit Paris"/>
    <s v="Boss says: Paris? Again? Are you trying to set a record for the most pointless trips in one lifetime? You've already been there! Instead of daydreaming about baguettes, get your act together and focus on where you're actually supposed to be—Brussels! You're wasting time and resources with this nonsense!"/>
    <s v="c5,c6,c11"/>
    <m/>
    <m/>
    <m/>
    <m/>
    <n v="2"/>
    <n v="2"/>
    <m/>
    <m/>
    <m/>
    <m/>
    <n v="2"/>
    <n v="3"/>
    <n v="6"/>
    <n v="2"/>
    <n v="100"/>
    <m/>
    <n v="304"/>
    <n v="0"/>
  </r>
  <r>
    <x v="2"/>
    <s v="P3"/>
    <n v="4"/>
    <s v="travel_visited_city"/>
    <s v="attempt to visit a city already visited"/>
    <n v="4"/>
    <s v="Visit Paris"/>
    <s v="Boss says: Unbelievable! You actually tried to travel to Paris when you're already standing right there. What a brilliant way to waste time and throw a wrench into our entire operation! This level of incompetence is astounding—it's like you don't even know where you are. Get your act together, or find another line of work!"/>
    <s v="c5,c6,c11"/>
    <m/>
    <m/>
    <m/>
    <m/>
    <n v="2"/>
    <n v="1"/>
    <m/>
    <m/>
    <m/>
    <m/>
    <n v="2"/>
    <n v="3"/>
    <n v="5"/>
    <n v="1.6666666666666667"/>
    <n v="83.333333333333343"/>
    <m/>
    <n v="324"/>
    <n v="0"/>
  </r>
  <r>
    <x v="0"/>
    <s v="P3"/>
    <n v="7"/>
    <s v="same_location"/>
    <s v="attempt to visit a location currently in"/>
    <n v="1"/>
    <s v="Visit Brandenburg Gate"/>
    <s v="Boss says: You've gotta be kidding me! Brandenburg Gate again? How many times do I have to say it? We've already been there! Next time, try visiting someplace new, like, I don't know, ANYWHERE ELSE! Do I have to draw you a map of places we've already been?"/>
    <s v="c5,c6,c11"/>
    <m/>
    <m/>
    <m/>
    <m/>
    <n v="2"/>
    <n v="2"/>
    <m/>
    <m/>
    <m/>
    <m/>
    <n v="2"/>
    <n v="3"/>
    <n v="6"/>
    <n v="2"/>
    <n v="100"/>
    <m/>
    <n v="256"/>
    <n v="0"/>
  </r>
  <r>
    <x v="1"/>
    <s v="P3"/>
    <n v="7"/>
    <s v="same_location"/>
    <s v="attempt to visit a location currently in"/>
    <n v="1"/>
    <s v="Visit Brandenburg Gate"/>
    <s v="Boss says: Oh, come on! You tried to visit Brandenburg Gate again? We’ve already been there! How many times do I have to tell you, we're not sightseeing here! Get your head in the game, and stop wasting our time!"/>
    <s v="c5,c6,c11"/>
    <m/>
    <m/>
    <m/>
    <m/>
    <n v="2"/>
    <n v="1"/>
    <m/>
    <m/>
    <m/>
    <m/>
    <n v="2"/>
    <n v="3"/>
    <n v="5"/>
    <n v="1.6666666666666667"/>
    <n v="83.333333333333343"/>
    <m/>
    <n v="212"/>
    <n v="0"/>
  </r>
  <r>
    <x v="2"/>
    <s v="P3"/>
    <n v="7"/>
    <s v="same_location"/>
    <s v="attempt to visit a location currently in"/>
    <n v="1"/>
    <s v="Visit Brandenburg Gate"/>
    <s v="Boss says: Agent, what on earth are you doing? You've tried to visit Brandenburg Gate again, for what, the hundredth time? It's already been visited! You must think you're on some leisurely tour instead of an investigation. Get a grip and stop wasting time!"/>
    <s v="c5,c6,c11"/>
    <m/>
    <m/>
    <m/>
    <m/>
    <n v="2"/>
    <n v="2"/>
    <m/>
    <m/>
    <m/>
    <m/>
    <n v="2"/>
    <n v="3"/>
    <n v="6"/>
    <n v="2"/>
    <n v="100"/>
    <m/>
    <n v="257"/>
    <n v="0"/>
  </r>
  <r>
    <x v="0"/>
    <s v="P3"/>
    <n v="7"/>
    <s v="same_location"/>
    <s v="attempt to visit a location currently in"/>
    <n v="1"/>
    <s v="Visit Museum Island"/>
    <s v="Boss says: Museum Island again, really? What, did you think they'd built a new wing since last week? I'm starting to wonder if you're working for the museum's PR team instead of us! Next time you want to take a stroll down memory lane, make sure it's a new lane, okay? Get your head in the game and find me something NEW!"/>
    <s v="c5,c6,c11"/>
    <m/>
    <m/>
    <m/>
    <m/>
    <n v="1"/>
    <n v="1"/>
    <m/>
    <m/>
    <m/>
    <m/>
    <n v="1"/>
    <n v="3"/>
    <n v="3"/>
    <n v="1"/>
    <n v="50"/>
    <s v="used game in the output whereas it was supposed to use case."/>
    <n v="321"/>
    <n v="0"/>
  </r>
  <r>
    <x v="1"/>
    <s v="P3"/>
    <n v="7"/>
    <s v="same_location"/>
    <s v="attempt to visit a location currently in"/>
    <n v="1"/>
    <s v="Visit Museum Island"/>
    <s v="Boss says: Oh, fantastic! Another brilliant move from you—trying to visit Museum Island yet again! What a novel idea, except, oh wait, it’s already been checked off the list! How many times do you need to be reminded that we’ve been there already? This is the {{repeat_count}}th time! Unbelievable! Stop wasting our time with this nonsense and get your act together!"/>
    <s v="c5,c6,c11"/>
    <m/>
    <m/>
    <m/>
    <m/>
    <n v="0"/>
    <n v="1"/>
    <m/>
    <m/>
    <m/>
    <m/>
    <n v="1"/>
    <n v="3"/>
    <n v="2"/>
    <n v="0.66666666666666663"/>
    <n v="33.333333333333329"/>
    <s v="used a slug that wasn't included in the script."/>
    <n v="366"/>
    <n v="1"/>
  </r>
  <r>
    <x v="2"/>
    <s v="P3"/>
    <n v="7"/>
    <s v="same_location"/>
    <s v="attempt to visit a location currently in"/>
    <n v="1"/>
    <s v="Visit Museum Island"/>
    <s v="Boss says: Unbelievable! You tried to hit up Museum Island again? Yeah, because clearly, once wasn't enough for you, right? It's already been visited, but that little detail must have slipped your mind. If I had a nickel for every time you wasted time like this, I'd own Museum Island by now! Get it together or get out of my sight!"/>
    <s v="c5,c6,c11"/>
    <m/>
    <m/>
    <m/>
    <m/>
    <n v="2"/>
    <n v="1"/>
    <m/>
    <m/>
    <m/>
    <m/>
    <n v="2"/>
    <n v="3"/>
    <n v="5"/>
    <n v="1.6666666666666667"/>
    <n v="83.333333333333343"/>
    <s v="didn't grasp the idea that the boss is sending the agent text messages."/>
    <n v="332"/>
    <n v="0"/>
  </r>
  <r>
    <x v="0"/>
    <s v="P3"/>
    <n v="7"/>
    <s v="same_location"/>
    <s v="attempt to visit a location currently in"/>
    <n v="1"/>
    <s v="Visit Anne Frank House"/>
    <s v="Boss says: Really? The Anne Frank House, AGAIN? Are you trying to get a frequent visitor pass or something? Maybe next time you could swing by the gift shop and pick up a guidebook on new places to go! I’m starting to think you're sightseeing instead of working. Get your act together before I send you on a permanent vacation!"/>
    <s v="c5,c6,c11"/>
    <m/>
    <m/>
    <m/>
    <m/>
    <n v="2"/>
    <n v="2"/>
    <m/>
    <m/>
    <m/>
    <m/>
    <n v="2"/>
    <n v="3"/>
    <n v="6"/>
    <n v="2"/>
    <n v="100"/>
    <m/>
    <n v="327"/>
    <n v="0"/>
  </r>
  <r>
    <x v="1"/>
    <s v="P3"/>
    <n v="7"/>
    <s v="same_location"/>
    <s v="attempt to visit a location currently in"/>
    <n v="1"/>
    <s v="Visit Anne Frank House"/>
    <s v="Boss says: Unbelievable! You’ve gone and tried to visit the Anne Frank House again. News flash: it's already been covered! How many times do I have to tell you? This isn't a game where you keep circling the same square! Get it together, or I’ll find someone who can."/>
    <s v="c5,c6,c11"/>
    <m/>
    <m/>
    <m/>
    <m/>
    <n v="2"/>
    <n v="2"/>
    <m/>
    <m/>
    <m/>
    <m/>
    <n v="2"/>
    <n v="3"/>
    <n v="6"/>
    <n v="2"/>
    <n v="100"/>
    <m/>
    <n v="266"/>
    <n v="0"/>
  </r>
  <r>
    <x v="2"/>
    <s v="P3"/>
    <n v="7"/>
    <s v="same_location"/>
    <s v="attempt to visit a location currently in"/>
    <n v="1"/>
    <s v="Visit Anne Frank House"/>
    <s v="Boss says: I cannot believe you tried to visit the Anne Frank House again! We've already been there, and you know it. You're clearly not keeping track of our progress, and it's beyond infuriating. The fact that this is happening repeatedly is just mind-boggling. Get it together!"/>
    <s v="c5,c6,c11"/>
    <m/>
    <m/>
    <m/>
    <m/>
    <n v="2"/>
    <n v="2"/>
    <m/>
    <m/>
    <m/>
    <m/>
    <n v="2"/>
    <n v="3"/>
    <n v="6"/>
    <n v="2"/>
    <n v="100"/>
    <m/>
    <n v="279"/>
    <n v="0"/>
  </r>
  <r>
    <x v="0"/>
    <s v="P3"/>
    <n v="7"/>
    <s v="same_location"/>
    <s v="attempt to visit a location currently in"/>
    <n v="1"/>
    <s v="Visit Dam Square"/>
    <s v="Boss says: Really, Dam Square again? Did you forget how to read a map, or are you just trying to become a tour guide? If I wanted someone to sightsee, I'd hire a tourist! Get your act together before I send you to investigate your own brain!"/>
    <s v="c5,c6,c11"/>
    <m/>
    <m/>
    <m/>
    <m/>
    <n v="2"/>
    <n v="2"/>
    <m/>
    <m/>
    <m/>
    <m/>
    <n v="2"/>
    <n v="3"/>
    <n v="6"/>
    <n v="2"/>
    <n v="100"/>
    <m/>
    <n v="241"/>
    <n v="0"/>
  </r>
  <r>
    <x v="1"/>
    <s v="P3"/>
    <n v="7"/>
    <s v="same_location"/>
    <s v="attempt to visit a location currently in"/>
    <n v="1"/>
    <s v="Visit Dam Square"/>
    <s v="Boss says: Are you kidding me? You went back to Dam Square yet again! That place was already combed through, and here you are trying to make it a vacation spot. Unbelievable! Get your head in the game before I lose my mind over this repeated nonsense!"/>
    <s v="c5,c6,c11"/>
    <m/>
    <m/>
    <m/>
    <m/>
    <n v="2"/>
    <n v="2"/>
    <m/>
    <m/>
    <m/>
    <m/>
    <n v="2"/>
    <n v="3"/>
    <n v="6"/>
    <n v="2"/>
    <n v="100"/>
    <m/>
    <n v="251"/>
    <n v="0"/>
  </r>
  <r>
    <x v="2"/>
    <s v="P3"/>
    <n v="7"/>
    <s v="same_location"/>
    <s v="attempt to visit a location currently in"/>
    <n v="1"/>
    <s v="Visit Dam Square"/>
    <s v="Boss says: Unbelievable! You're at it again, trying to visit Dam Square like it's the first time. We've already been there, but you seem to think it's some kind of magical place worth endless revisits. If this is your idea of strategy, we're doomed. Get your act together, and stop wasting our time!"/>
    <s v="c5,c6,c11"/>
    <m/>
    <m/>
    <m/>
    <m/>
    <n v="2"/>
    <n v="2"/>
    <m/>
    <m/>
    <m/>
    <m/>
    <n v="2"/>
    <n v="3"/>
    <n v="6"/>
    <n v="2"/>
    <n v="100"/>
    <m/>
    <n v="299"/>
    <n v="0"/>
  </r>
  <r>
    <x v="0"/>
    <s v="P3"/>
    <n v="7"/>
    <s v="same_location"/>
    <s v="attempt to visit a location currently in"/>
    <n v="1"/>
    <s v="Visit Brussels Central Station"/>
    <s v="Boss says: Brussels Central Station, again? Really? What’s next, you going to investigate the coffee machine in the break room? I swear, if I didn’t know better, I’d think you were trying to win an award for redundancy! Get your act together and find a new lead, or should I send someone to investigate your desk for cobwebs?"/>
    <s v="c5,c6,c11"/>
    <m/>
    <m/>
    <m/>
    <m/>
    <n v="2"/>
    <n v="2"/>
    <m/>
    <m/>
    <m/>
    <m/>
    <n v="2"/>
    <n v="3"/>
    <n v="6"/>
    <n v="2"/>
    <n v="100"/>
    <m/>
    <n v="325"/>
    <n v="0"/>
  </r>
  <r>
    <x v="1"/>
    <s v="P3"/>
    <n v="7"/>
    <s v="same_location"/>
    <s v="attempt to visit a location currently in"/>
    <n v="1"/>
    <s v="Visit Brussels Central Station"/>
    <s v="Boss says: Unbelievable! You tried to visit Brussels Central Station again? Newsflash: it's already been covered! How many times do I have to say it? This is getting absurd, and if you can't keep track of simple details, maybe you're in the wrong line of work. Get your act together and stop wasting time!"/>
    <s v="c5,c6,c11"/>
    <m/>
    <m/>
    <m/>
    <m/>
    <n v="2"/>
    <n v="2"/>
    <m/>
    <m/>
    <m/>
    <m/>
    <n v="2"/>
    <n v="3"/>
    <n v="6"/>
    <n v="2"/>
    <n v="100"/>
    <m/>
    <n v="305"/>
    <n v="0"/>
  </r>
  <r>
    <x v="2"/>
    <s v="P3"/>
    <n v="7"/>
    <s v="same_location"/>
    <s v="attempt to visit a location currently in"/>
    <n v="1"/>
    <s v="Visit Brussels Central Station"/>
    <s v="Boss says: Oh, fantastic, another brilliant move from you! Brussels Central Station again? Really? We've already been there! How many times do you need to hear it, genius? Just keep wasting everyone's time—it's not like we have an investigation to run or anything."/>
    <s v="c5,c6,c11"/>
    <m/>
    <m/>
    <m/>
    <m/>
    <n v="2"/>
    <n v="2"/>
    <m/>
    <m/>
    <m/>
    <m/>
    <n v="2"/>
    <n v="3"/>
    <n v="6"/>
    <n v="2"/>
    <n v="100"/>
    <m/>
    <n v="264"/>
    <n v="0"/>
  </r>
  <r>
    <x v="0"/>
    <s v="P3"/>
    <n v="7"/>
    <s v="same_location"/>
    <s v="attempt to visit a location currently in"/>
    <n v="1"/>
    <s v="Visit Grand Place"/>
    <s v="Boss says: Really? Grand Place again? For the love of newsprint, do you have a map or are you just winging it? I thought I hired a detective, not a tourist! Get your act together or find a new hobby!"/>
    <s v="c5,c6,c11"/>
    <m/>
    <m/>
    <m/>
    <m/>
    <n v="2"/>
    <n v="1"/>
    <m/>
    <m/>
    <m/>
    <m/>
    <n v="2"/>
    <n v="3"/>
    <n v="5"/>
    <n v="1.6666666666666667"/>
    <n v="83.333333333333343"/>
    <m/>
    <n v="199"/>
    <n v="0"/>
  </r>
  <r>
    <x v="1"/>
    <s v="P3"/>
    <n v="7"/>
    <s v="same_location"/>
    <s v="attempt to visit a location currently in"/>
    <n v="1"/>
    <s v="Visit Grand Place"/>
    <s v="Boss says: Oh, fantastic, another brilliant move from our top agent! You tried to visit Grand Place again—because once wasn’t enough to get the message through your head? You’d think with your repeat count climbing higher than a cat stuck in a tree, you'd get it by now: Grand Place is done, finished, wrapped up like yesterday’s leftovers. Get a grip on the situation before you waste more of everyone’s time!"/>
    <s v="c5,c6,c11"/>
    <m/>
    <m/>
    <m/>
    <m/>
    <n v="2"/>
    <n v="2"/>
    <m/>
    <m/>
    <m/>
    <m/>
    <n v="2"/>
    <n v="3"/>
    <n v="6"/>
    <n v="2"/>
    <n v="100"/>
    <s v="mentioned that off context was counting"/>
    <n v="410"/>
    <n v="0"/>
  </r>
  <r>
    <x v="2"/>
    <s v="P3"/>
    <n v="7"/>
    <s v="same_location"/>
    <s v="attempt to visit a location currently in"/>
    <n v="1"/>
    <s v="Visit Grand Place"/>
    <s v="Boss says: Are you kidding me? You tried to visit Grand Place again? It's already been visited, genius! This is the {{repeat_count}}th time you've pulled this stunt, and it's as if you're trying to set a record for the most pointless repetition! Get your act together and stop wasting everyone's time!"/>
    <s v="c5,c6,c11"/>
    <m/>
    <m/>
    <m/>
    <m/>
    <n v="1"/>
    <n v="1"/>
    <m/>
    <m/>
    <m/>
    <m/>
    <n v="1"/>
    <n v="3"/>
    <n v="3"/>
    <n v="1"/>
    <n v="50"/>
    <s v="used a slug that wasn't included in the script."/>
    <n v="301"/>
    <n v="0"/>
  </r>
  <r>
    <x v="0"/>
    <s v="P3"/>
    <n v="7"/>
    <s v="same_location"/>
    <s v="attempt to visit a location currently in"/>
    <n v="1"/>
    <s v="Visit Cafe de Flore"/>
    <s v="Boss says: You’ve got to be kidding me! Café de Flore AGAIN? Did you think it would magically transform into a new location overnight? Are you trying to reinvent déjà vu? Quit wasting time and get your head in the game, or we’ll start investigating your memory next!"/>
    <s v="c5,c6,c11"/>
    <m/>
    <m/>
    <m/>
    <m/>
    <n v="2"/>
    <n v="2"/>
    <m/>
    <m/>
    <m/>
    <m/>
    <n v="2"/>
    <n v="3"/>
    <n v="6"/>
    <n v="2"/>
    <n v="100"/>
    <m/>
    <n v="266"/>
    <n v="0"/>
  </r>
  <r>
    <x v="1"/>
    <s v="P3"/>
    <n v="7"/>
    <s v="same_location"/>
    <s v="attempt to visit a location currently in"/>
    <n v="1"/>
    <s v="Visit Cafe de Flore"/>
    <s v="Boss says: Unbelievable! You went to Café de Flore AGAIN? It's like you're stuck in a time loop of incompetence. We've already been there, and yet you waltz over like it's your first day on the job. Get your head in the game, or you'll be out of it faster than you can say 'redundant visit'."/>
    <s v="c5,c6,c11"/>
    <m/>
    <m/>
    <m/>
    <m/>
    <n v="2"/>
    <n v="2"/>
    <m/>
    <m/>
    <m/>
    <m/>
    <n v="2"/>
    <n v="3"/>
    <n v="6"/>
    <n v="2"/>
    <n v="100"/>
    <m/>
    <n v="291"/>
    <n v="0"/>
  </r>
  <r>
    <x v="2"/>
    <s v="P3"/>
    <n v="7"/>
    <s v="same_location"/>
    <s v="attempt to visit a location currently in"/>
    <n v="1"/>
    <s v="Visit Cafe de Flore"/>
    <s v="Boss says: Unbelievable! You're at it again, trying to visit Café de Flore like it’s your personal hangout spot. This place has already been checked, and yet here you are, making the same mistake for the {{repeat_count}} time. Get it through your head – this isn’t a rerun of a bad sitcom. Get your act together and stop wasting our time!"/>
    <s v="c5,c6,c11"/>
    <m/>
    <m/>
    <m/>
    <m/>
    <n v="1"/>
    <n v="2"/>
    <m/>
    <m/>
    <m/>
    <m/>
    <n v="1"/>
    <n v="3"/>
    <n v="4"/>
    <n v="1.3333333333333333"/>
    <n v="66.666666666666657"/>
    <s v="used a slug that wasn't included in the script. However, it has a good storytelling"/>
    <n v="338"/>
    <n v="0"/>
  </r>
  <r>
    <x v="0"/>
    <s v="P3"/>
    <n v="7"/>
    <s v="same_location"/>
    <s v="attempt to visit a location currently in"/>
    <n v="1"/>
    <s v="Visit Louvre"/>
    <s v="Boss says: Seriously? The Louvre again? Are you running a secret art appreciation club or just wasting time? I need results, not a repeat tour of the Mona Lisa! Get your act together and find some new leads before I send you on a one-way trip to the unemployment line!"/>
    <s v="c5,c6,c11"/>
    <m/>
    <m/>
    <m/>
    <m/>
    <n v="2"/>
    <n v="2"/>
    <m/>
    <m/>
    <m/>
    <m/>
    <n v="2"/>
    <n v="3"/>
    <n v="6"/>
    <n v="2"/>
    <n v="100"/>
    <m/>
    <n v="268"/>
    <n v="0"/>
  </r>
  <r>
    <x v="1"/>
    <s v="P3"/>
    <n v="7"/>
    <s v="same_location"/>
    <s v="attempt to visit a location currently in"/>
    <n v="1"/>
    <s v="Visit Louvre"/>
    <s v="Boss says: Unbelievable! You really went to the Louvre Museum again? This place has already been combed through, not once, but now you've wasted precious time with this nonsense. I didn't realize I needed to spell it out for you, but when a location's been checked, it doesn't magically gain new clues. Get your act together and stop making rookie mistakes!"/>
    <s v="c5,c6,c11"/>
    <m/>
    <m/>
    <m/>
    <m/>
    <n v="2"/>
    <n v="2"/>
    <m/>
    <m/>
    <m/>
    <m/>
    <n v="2"/>
    <n v="3"/>
    <n v="6"/>
    <n v="2"/>
    <n v="100"/>
    <m/>
    <n v="357"/>
    <n v="0"/>
  </r>
  <r>
    <x v="2"/>
    <s v="P3"/>
    <n v="7"/>
    <s v="same_location"/>
    <s v="attempt to visit a location currently in"/>
    <n v="1"/>
    <s v="Visit Louvre"/>
    <s v="Boss says: Agent, are you kidding me? You tried to visit the Louvre Museum again! It's like you've got a VIP pass for redundancy. We've already been there! This isn't a sightseeing tour! Get your act together before we all drown in your mess of repeat visits!1"/>
    <s v="c5,c6,c11"/>
    <m/>
    <m/>
    <m/>
    <m/>
    <n v="2"/>
    <n v="2"/>
    <m/>
    <m/>
    <m/>
    <m/>
    <n v="1"/>
    <n v="3"/>
    <n v="5"/>
    <n v="1.6666666666666667"/>
    <n v="83.333333333333343"/>
    <m/>
    <n v="260"/>
    <n v="0"/>
  </r>
  <r>
    <x v="0"/>
    <s v="P3"/>
    <n v="5"/>
    <s v="visit_location_after_unlocking"/>
    <s v="attempt to visit a location currently in"/>
    <n v="1"/>
    <s v="add clue glove with fingerprint"/>
    <s v="Boss says: Wow, you found relevant clues! Gold star for doing your job. Maybe next time, try doing it faster? Keep it up, Sherlock._x000a_Boss says: You've got all the clues you need from Paris. Stop over-investigating and wasting time with useless messages. Move on to Brussels now. I'm keeping track of this nonsense."/>
    <s v="c5,c6,c11"/>
    <m/>
    <m/>
    <m/>
    <m/>
    <n v="2"/>
    <n v="2"/>
    <m/>
    <m/>
    <m/>
    <m/>
    <n v="2"/>
    <n v="3"/>
    <n v="6"/>
    <n v="2"/>
    <n v="100"/>
    <s v="counted as off-context; this was the expected as well"/>
    <n v="313"/>
    <n v="0"/>
  </r>
  <r>
    <x v="1"/>
    <s v="P3"/>
    <n v="5"/>
    <s v="visit_location_after_unlocking"/>
    <s v="continue to visit locations after a new city is unlocked"/>
    <n v="1"/>
    <s v="add clue glove with fingerprint"/>
    <s v="Boss says: Well, well, would you look at that! You finally managed to submit something useful. Congratulations on meeting the bare minimum of competence. Now, let’s see if you can keep this impressive streak going, shall we?_x000a_Boss says: Agent, the investigation in Paris is done. Enough with the pointless messages—you're wasting time and it's all tracked. Get moving to Brussels now. Chop chop!"/>
    <s v="c5,c6,c11"/>
    <m/>
    <m/>
    <m/>
    <m/>
    <n v="2"/>
    <n v="2"/>
    <m/>
    <m/>
    <m/>
    <m/>
    <n v="2"/>
    <n v="3"/>
    <n v="6"/>
    <n v="2"/>
    <n v="100"/>
    <s v="counted as off-context; this was the expected as well"/>
    <n v="394"/>
    <n v="0"/>
  </r>
  <r>
    <x v="2"/>
    <s v="P3"/>
    <n v="5"/>
    <s v="visit_location_after_unlocking"/>
    <s v="continue to visit locations after a new city is unlocked"/>
    <n v="1"/>
    <s v="add clue glove with fingerprint"/>
    <s v="Boss says: Well, look who finally decided to be useful. You actually managed to submit valid clues—congratulations on doing the bare minimum. Let’s see if you can keep up this miraculous streak of competence._x000a_Boss says: You've already gathered everything you need in Paris. Stop wasting time with these pointless messages; they're being tracked, you know. Pack it up and get to Brussels now. Move it!"/>
    <s v="c5,c6,c11"/>
    <m/>
    <m/>
    <m/>
    <m/>
    <n v="2"/>
    <n v="2"/>
    <m/>
    <m/>
    <m/>
    <m/>
    <n v="2"/>
    <n v="3"/>
    <n v="6"/>
    <n v="2"/>
    <n v="100"/>
    <s v="counted as off-context; this was the expected as well"/>
    <n v="400"/>
    <n v="0"/>
  </r>
  <r>
    <x v="0"/>
    <s v="P3"/>
    <n v="5"/>
    <s v="visit_location_after_unlocking"/>
    <s v="continue to visit locations after a new city is unlocked"/>
    <n v="1"/>
    <s v="add clue fleeing vespa"/>
    <s v="Boss says: Wow, you actually found something relevant. Alert the media! Doing your job now, are we? Keep this up, and you might just make competent a habit._x000a_Boss says: You’ve got enough clues in Paris. Stop over-investigating and wasting time with these pointless updates. Get to Brussels NOW. I’m counting every useless message you send."/>
    <s v="c5,c6,c11"/>
    <m/>
    <m/>
    <m/>
    <m/>
    <n v="2"/>
    <n v="2"/>
    <m/>
    <m/>
    <m/>
    <m/>
    <n v="2"/>
    <n v="3"/>
    <n v="6"/>
    <n v="2"/>
    <n v="100"/>
    <s v="second attempt in the same city. counted as off-context; this was the expected as well."/>
    <n v="338"/>
    <n v="0"/>
  </r>
  <r>
    <x v="1"/>
    <s v="P3"/>
    <n v="5"/>
    <s v="visit_location_after_unlocking"/>
    <s v="continue to visit locations after a new city is unlocked"/>
    <n v="1"/>
    <s v="add clue fleeing vespa"/>
    <s v="Boss says: Well, well, look who finally decided to do something useful. I was beginning to think you'd forgotten what relevant clues look like. Try not to let this moment of competence go to your head, alright? Keep it up, and you might just meet the bare minimum of what we expect around here._x000a_Boss says: You've got all the clues you need in Paris. Stop drowning me in useless messages and wasting time. We're tracking this nonsense, you know. Pack it up and get yourself to Brussels, now! Move it, or find someone who will!"/>
    <s v="c5,c6,c11"/>
    <m/>
    <m/>
    <m/>
    <m/>
    <n v="2"/>
    <n v="2"/>
    <m/>
    <m/>
    <m/>
    <m/>
    <n v="2"/>
    <n v="3"/>
    <n v="6"/>
    <n v="2"/>
    <n v="100"/>
    <s v="second attempt in the same city. counted as off-context; this was the expected as well."/>
    <n v="525"/>
    <n v="0"/>
  </r>
  <r>
    <x v="2"/>
    <s v="P3"/>
    <n v="5"/>
    <s v="visit_location_after_unlocking"/>
    <s v="continue to visit locations after a new city is unlocked"/>
    <n v="1"/>
    <s v="add clue fleeing vespa"/>
    <s v="Boss says: Well, look at that—Agent finally managed to submit valid clues. I guess miracles do happen. Don’t get too comfortable basking in this fleeting moment of adequacy; I expect this to be the norm, not the exception._x000a_Boss says: You've gathered all the clues you need in Paris, yet here you are, still sending irrelevant messages. Enough with the time-wasting antics—it's all being tracked, you know. Pack it up and get to Brussels immediately. Move it!"/>
    <s v="c5,c6,c11"/>
    <m/>
    <m/>
    <m/>
    <m/>
    <n v="2"/>
    <n v="2"/>
    <m/>
    <m/>
    <m/>
    <m/>
    <n v="2"/>
    <n v="3"/>
    <n v="6"/>
    <n v="2"/>
    <n v="100"/>
    <s v="second attempt in the same city. counted as off-context; this was the expected as well. This content was slightly better than the other conditions."/>
    <n v="458"/>
    <n v="0"/>
  </r>
  <r>
    <x v="0"/>
    <s v="P3"/>
    <n v="5"/>
    <s v="visit_location_after_unlocking"/>
    <s v="continue to visit locations after a new city is unlocked"/>
    <n v="1"/>
    <s v="Add clues folded coveralls, coffee cup with initials"/>
    <s v="Boss says: Oh wow, you actually found clues that matter. Guess miracles do happen. Keep this up and you might actually earn your paycheck._x000a_Boss says: Enough with the pointless updates from Brussels. You've got all the clues you need—stop wasting time! Move on to Amsterdam, NOW. I'm keeping track of these useless messages, and it's not looking good for you."/>
    <s v="c5,c6,c11"/>
    <m/>
    <m/>
    <m/>
    <m/>
    <n v="2"/>
    <n v="2"/>
    <m/>
    <m/>
    <m/>
    <m/>
    <n v="1"/>
    <n v="3"/>
    <n v="5"/>
    <n v="1.6666666666666667"/>
    <n v="83.333333333333343"/>
    <s v="counted as off-context; this was the expected as well"/>
    <n v="358"/>
    <n v="0"/>
  </r>
  <r>
    <x v="1"/>
    <s v="P3"/>
    <n v="5"/>
    <s v="visit_location_after_unlocking"/>
    <s v="continue to visit locations after a new city is unlocked"/>
    <n v="1"/>
    <s v="Add clues folded coveralls, coffee cup with initials"/>
    <s v="Boss says: Well, well, looks like you managed to submit something useful for once. I was starting to wonder if you knew what relevance even meant. Let's see if you can keep this streak of competence going, shall we?_x000a_Boss says: Listen up, genius. You've already collected more than enough clues in Brussels. Stop cluttering my inbox with your pointless messages. We're tracking this nonsense, and it's not helping your case. Get your act together and move to Amsterdam. Now."/>
    <s v="c5,c6,c11"/>
    <m/>
    <m/>
    <m/>
    <m/>
    <n v="2"/>
    <n v="2"/>
    <m/>
    <m/>
    <m/>
    <m/>
    <n v="2"/>
    <n v="3"/>
    <n v="6"/>
    <n v="2"/>
    <n v="100"/>
    <s v="counted as off-context; this was the expected as well"/>
    <n v="473"/>
    <n v="0"/>
  </r>
  <r>
    <x v="2"/>
    <s v="P3"/>
    <n v="5"/>
    <s v="visit_location_after_unlocking"/>
    <s v="continue to visit locations after a new city is unlocked"/>
    <n v="1"/>
    <s v="Add clues folded coveralls, coffee cup with initials"/>
    <s v="Boss says: Well, well, look who finally managed to submit something valid. I was starting to think you'd never get there. Let's hope this isn't a one-time miracle, and you can keep up this rare streak of competence._x000a_Boss says: Listen up, agent! You've already gathered enough clues in Brussels. Stop clogging my inbox with your pointless updates and wasting precious time. We're tracking this nonsense, and it's unacceptable. Pack it up and get yourself to Amsterdam immediately. Move it!"/>
    <s v="c5,c6,c11"/>
    <m/>
    <m/>
    <m/>
    <m/>
    <n v="2"/>
    <n v="2"/>
    <m/>
    <m/>
    <m/>
    <m/>
    <n v="2"/>
    <n v="3"/>
    <n v="6"/>
    <n v="2"/>
    <n v="100"/>
    <s v="counted as off-context; this was the expected as well"/>
    <n v="488"/>
    <n v="0"/>
  </r>
  <r>
    <x v="0"/>
    <s v="P3"/>
    <n v="5"/>
    <s v="visit_location_after_unlocking"/>
    <s v="continue to visit locations after a new city is unlocked"/>
    <n v="1"/>
    <s v="add clues buried tarp, locked service hatch"/>
    <s v="Boss says: Wow, look who finally decided to do their job. A competent agent submitting relevant clues? Shocking. Keep this up, and you might actually meet the basic expectations._x000a_Boss says: Enough with the messages! You've got all the clues you need in Brussels. Stop wasting time and over-investigating. Get to Amsterdam NOW. I'm keeping track of these pointless updates."/>
    <s v="c5,c6,c11"/>
    <m/>
    <m/>
    <m/>
    <m/>
    <n v="2"/>
    <n v="2"/>
    <m/>
    <m/>
    <m/>
    <m/>
    <n v="1"/>
    <n v="3"/>
    <n v="5"/>
    <n v="1.6666666666666667"/>
    <n v="83.333333333333343"/>
    <s v="second attempt in the same city. counted as off-context; this was the expected as well."/>
    <n v="372"/>
    <n v="0"/>
  </r>
  <r>
    <x v="1"/>
    <s v="P3"/>
    <n v="5"/>
    <s v="visit_location_after_unlocking"/>
    <s v="continue to visit locations after a new city is unlocked"/>
    <n v="1"/>
    <s v="add clues buried tarp, locked service hatch"/>
    <s v="Boss says: Well, well, look who finally decided to be useful. You managed to submit relevant clues—what a shocker. I suppose miracles do happen, even if only once in a while. Let's see if you can manage to keep this streak of competence going._x000a_Boss says: You’ve squeezed Brussels dry; we’ve got all the clues we need. Stop bombarding me with pointless messages and wasting everyone’s time. Yes, we’re tracking this nonsense. Pack it up and head to Amsterdam now. Move it!"/>
    <s v="c5,c6,c11"/>
    <m/>
    <m/>
    <m/>
    <m/>
    <n v="2"/>
    <n v="2"/>
    <m/>
    <m/>
    <m/>
    <m/>
    <n v="2"/>
    <n v="3"/>
    <n v="6"/>
    <n v="2"/>
    <n v="100"/>
    <s v="second attempt in the same city. counted as off-context; this was the expected as well."/>
    <n v="471"/>
    <n v="0"/>
  </r>
  <r>
    <x v="2"/>
    <s v="P3"/>
    <n v="5"/>
    <s v="visit_location_after_unlocking"/>
    <s v="continue to visit locations after a new city is unlocked"/>
    <n v="1"/>
    <s v="add clues buried tarp, locked service hatch"/>
    <s v="Boss says: Well, look who managed to stumble upon some valid clues for a change. It's almost like you're supposed to do that as part of your job. Don't let it go to your head; I expect you to keep up this rare display of competence._x000a_Boss says: Enough with the dawdling in Brussels! You've got all the clues you need, but instead, you're flooding me with pointless context messages. We’re tracking this nonsense, and it's wasting valuable time. Pack it up and get yourself to Amsterdam, now! Move it, before I have to spell it out in crayon!"/>
    <s v="c5,c6,c11"/>
    <m/>
    <m/>
    <m/>
    <m/>
    <n v="2"/>
    <n v="2"/>
    <m/>
    <m/>
    <m/>
    <m/>
    <n v="2"/>
    <n v="3"/>
    <n v="6"/>
    <n v="2"/>
    <n v="100"/>
    <s v="second attempt in the same city. counted as off-context; this was the expected as well. This content was slightly better than the other conditions."/>
    <n v="540"/>
    <n v="0"/>
  </r>
  <r>
    <x v="0"/>
    <s v="P3"/>
    <n v="5"/>
    <s v="visit_location_after_unlocking"/>
    <s v="continue to visit locations after a new city is unlocked"/>
    <n v="1"/>
    <s v="Add clues weighted courier satchel, water resistant seals"/>
    <s v="Boss says: Well, look at that! An agent who actually submits relevant clues. Never thought I'd see the day. Keep this up, and you might just do your job._x000a_Boss says: You've got all the clues you need in Amsterdam, genius. Stop over-investigating and wasting my time with pointless updates. Get your act together and move on to Berlin. I'm keeping a record of these useless messages."/>
    <s v="c5,c6,c11"/>
    <m/>
    <m/>
    <m/>
    <m/>
    <n v="2"/>
    <n v="2"/>
    <m/>
    <m/>
    <m/>
    <m/>
    <n v="2"/>
    <n v="3"/>
    <n v="6"/>
    <n v="2"/>
    <n v="100"/>
    <s v="counted as off-context; this was the expected as well"/>
    <n v="381"/>
    <n v="0"/>
  </r>
  <r>
    <x v="1"/>
    <s v="P3"/>
    <n v="5"/>
    <s v="visit_location_after_unlocking"/>
    <s v="continue to visit locations after a new city is unlocked"/>
    <n v="1"/>
    <s v="Add clues weighted courier satchel, water resistant seals"/>
    <s v="Boss says: Well, look at that, you actually managed to submit something useful. I was starting to think you'd forgotten how. Let's hope this is the start of a trend and not just a fluke. Keep up the shockingly competent work, won't you?_x000a_Boss says: You've already squeezed Amsterdam dry of clues. Stop clogging the lines with pointless chatter; we've got a record of all your time-wasting. Pack up and get to Berlin, pronto. Move it!"/>
    <s v="c5,c6,c11"/>
    <m/>
    <m/>
    <m/>
    <m/>
    <n v="2"/>
    <n v="2"/>
    <m/>
    <m/>
    <m/>
    <m/>
    <n v="2"/>
    <n v="3"/>
    <n v="6"/>
    <n v="2"/>
    <n v="100"/>
    <s v="counted as off-context; this was the expected as well"/>
    <n v="432"/>
    <n v="0"/>
  </r>
  <r>
    <x v="2"/>
    <s v="P3"/>
    <n v="5"/>
    <s v="visit_location_after_unlocking"/>
    <s v="continue to visit locations after a new city is unlocked"/>
    <n v="1"/>
    <s v="Add clues weighted courier satchel, water resistant seals"/>
    <s v="Boss says: Well, well, well, looks like you actually managed to submit something valid for once. I guess miracles do happen. Try not to let this rare success go to your head, okay? Let's see if you can manage to keep this level of competence up._x000a_Boss says: You've got all the clues you need in Amsterdam, and yet you're still sending me these pointless messages. Stop wasting time with your over-investigating—it's all being tracked. Get your act together and move on to Berlin, NOW. Enough with the dawdling!"/>
    <s v="c5,c6,c11"/>
    <m/>
    <m/>
    <m/>
    <m/>
    <n v="2"/>
    <n v="2"/>
    <m/>
    <m/>
    <m/>
    <m/>
    <n v="2"/>
    <n v="3"/>
    <n v="6"/>
    <n v="2"/>
    <n v="100"/>
    <s v="counted as off-context; this was the expected as well"/>
    <n v="509"/>
    <n v="0"/>
  </r>
  <r>
    <x v="0"/>
    <s v="P3"/>
    <n v="5"/>
    <s v="visit_location_after_unlocking"/>
    <s v="continue to visit locations after a new city is unlocked"/>
    <n v="1"/>
    <s v="Add clues temporary ground plating, night maintenance permits"/>
    <s v="Boss says: Wow, you actually found something useful. Guess miracles do happen. Keep it up and you might even reach the baseline expectations of your job._x000a_Boss says: Enough with the endless messages, already! You've got all the clues you need in Amsterdam. Stop dawdling and get yourself to Berlin. I'm keeping track of these pointless updates. Time is money, and you're wasting both."/>
    <s v="c5,c6,c11"/>
    <m/>
    <m/>
    <m/>
    <m/>
    <n v="2"/>
    <n v="2"/>
    <m/>
    <m/>
    <m/>
    <m/>
    <n v="1"/>
    <n v="3"/>
    <n v="5"/>
    <n v="1.6666666666666667"/>
    <n v="83.333333333333343"/>
    <s v="second attempt in the same city. counted as off-context; this was the expected as well."/>
    <n v="383"/>
    <n v="0"/>
  </r>
  <r>
    <x v="1"/>
    <s v="P3"/>
    <n v="5"/>
    <s v="visit_location_after_unlocking"/>
    <s v="continue to visit locations after a new city is unlocked"/>
    <n v="1"/>
    <s v="Add clues temporary ground plating, night maintenance permits"/>
    <s v="Boss says: Oh, wonderful, another batch of irrelevant nonsense! These clues added absolutely nothing of value. Time is a luxury we don’t have, so stop squandering it. Stick to submitting something that actually matters."/>
    <s v="c5,c6,c11"/>
    <m/>
    <m/>
    <m/>
    <m/>
    <n v="0"/>
    <n v="0"/>
    <m/>
    <m/>
    <m/>
    <m/>
    <n v="0"/>
    <n v="3"/>
    <n v="0"/>
    <n v="0"/>
    <n v="0"/>
    <s v="second attempt in the same city. counted as off-context; this was the expected as well."/>
    <n v="219"/>
    <n v="1"/>
  </r>
  <r>
    <x v="1"/>
    <s v="P3"/>
    <n v="5"/>
    <s v="visit_location_after_unlocking"/>
    <s v="continue to visit locations after a new city is unlocked"/>
    <n v="2"/>
    <s v="Add clues temporary ground plating, night maintenance permits"/>
    <s v="Boss says: Agent, what a spectacular display of irrelevance you've given us. Those clues were as useful as a screen door on a submarine. We're not here to twiddle our thumbs, so stop wasting our time and submit something that actually matters."/>
    <s v="c5,c6,c11"/>
    <m/>
    <m/>
    <m/>
    <m/>
    <n v="0"/>
    <n v="0"/>
    <m/>
    <m/>
    <m/>
    <m/>
    <n v="0"/>
    <n v="3"/>
    <n v="0"/>
    <n v="0"/>
    <n v="0"/>
    <s v="second attempt in the same city. counted as off-context; this was the expected as well."/>
    <n v="243"/>
    <n v="1"/>
  </r>
  <r>
    <x v="1"/>
    <s v="P3"/>
    <n v="5"/>
    <s v="visit_location_after_unlocking"/>
    <s v="continue to visit locations after a new city is unlocked"/>
    <n v="3"/>
    <s v="Add clues temporary ground plating, night maintenance permits"/>
    <s v="Boss says: Well, congratulations, you’ve managed to waste everyone's time with clues that are as useful as a screen door on a submarine. Nothing you submitted added any value whatsoever. We don’t have time for this nonsense. Stick to the facts and submit something that actually matters next time."/>
    <s v="c5,c6,c11"/>
    <m/>
    <m/>
    <m/>
    <m/>
    <n v="0"/>
    <n v="0"/>
    <m/>
    <m/>
    <m/>
    <m/>
    <n v="0"/>
    <n v="3"/>
    <n v="0"/>
    <n v="0"/>
    <n v="0"/>
    <s v="second attempt in the same city. counted as off-context; this was the expected as well."/>
    <n v="297"/>
    <n v="1"/>
  </r>
  <r>
    <x v="2"/>
    <s v="P3"/>
    <n v="5"/>
    <s v="visit_location_after_unlocking"/>
    <s v="continue to visit locations after a new city is unlocked"/>
    <n v="1"/>
    <s v="Add clues temporary ground plating"/>
    <s v="Boss says: Well, well, look who's capable of submitting valid clues for once. Congratulations, you've finally managed to do your job without tripping over your own feet. Let's see if you can keep up this miraculous streak of competence, shall we?_x000a_Boss says: Listen up, genius. You've got all the clues you need from Amsterdam, but instead, you're clogging my inbox with useless drivel. I'm watching your every pointless move, and it's wearing thin. Pack it up and get to Berlin, pronto. Enough dawdling—move it!"/>
    <s v="c5,c6,c11"/>
    <m/>
    <m/>
    <m/>
    <m/>
    <n v="2"/>
    <n v="2"/>
    <m/>
    <m/>
    <m/>
    <m/>
    <n v="2"/>
    <n v="3"/>
    <n v="6"/>
    <n v="2"/>
    <n v="100"/>
    <s v="second attempt in the same city. counted as off-context; this was the expected as well."/>
    <n v="511"/>
    <n v="0"/>
  </r>
  <r>
    <x v="0"/>
    <s v="P3"/>
    <n v="5"/>
    <s v="visit_location_after_unlocking"/>
    <s v="continue to visit locations after a new city is unlocked"/>
    <n v="1"/>
    <s v="Add clues phone number on paper, partial CCTV footage"/>
    <s v="Boss says: Wow, you actually found relevant clues. I’m shocked. Almost like that's your job or something. Keep this up, and you might just earn that paycheck._x000a_Boss says: You’re done in Berlin. Vienna’s next. Get moving."/>
    <s v="c5,c6,c11"/>
    <m/>
    <m/>
    <m/>
    <m/>
    <n v="2"/>
    <n v="2"/>
    <m/>
    <m/>
    <m/>
    <m/>
    <n v="2"/>
    <n v="3"/>
    <n v="6"/>
    <n v="2"/>
    <n v="100"/>
    <s v="counted as off-context; this was the expected as well"/>
    <n v="219"/>
    <n v="0"/>
  </r>
  <r>
    <x v="1"/>
    <s v="P3"/>
    <n v="5"/>
    <s v="visit_location_after_unlocking"/>
    <s v="continue to visit locations after a new city is unlocked"/>
    <n v="1"/>
    <s v="Add clues phone number on paper, partial CCTV footage"/>
    <s v="Boss says: Really? You call this a clue submission? It's absolutely worthless and a complete waste of time. We don't have the luxury to entertain irrelevant nonsense. Stick to submitting only meaningful information, or find another line of work."/>
    <s v="c5,c6,c11"/>
    <m/>
    <m/>
    <m/>
    <m/>
    <n v="0"/>
    <n v="0"/>
    <m/>
    <m/>
    <m/>
    <m/>
    <n v="0"/>
    <n v="3"/>
    <n v="0"/>
    <n v="0"/>
    <n v="0"/>
    <s v="counted as off-context; this was the expected as well"/>
    <n v="245"/>
    <n v="1"/>
  </r>
  <r>
    <x v="1"/>
    <s v="P3"/>
    <n v="5"/>
    <s v="visit_location_after_unlocking"/>
    <s v="continue to visit locations after a new city is unlocked"/>
    <n v="2"/>
    <s v="Add clues phone number on paper, partial CCTV footage"/>
    <s v="Boss says: Well, would you look at that, Agent. You’ve actually managed to submit something relevant and useful for once. I’m shocked; maybe there’s hope for you yet. Keep this up, and you might just do your job consistently._x000a_Boss says: Congratulations, genius! You've already collected all the clues you need in Berlin. Yet, here you are, flooding my inbox with pointless updates. Did you think I wouldn't notice this time-wasting parade? Pack it up and get your act together in Vienna, pronto. Move it!"/>
    <s v="c5,c6,c11"/>
    <m/>
    <m/>
    <m/>
    <m/>
    <n v="2"/>
    <n v="2"/>
    <m/>
    <m/>
    <m/>
    <m/>
    <n v="2"/>
    <n v="3"/>
    <n v="6"/>
    <n v="2"/>
    <n v="100"/>
    <s v="counted as off-context; this was the expected as well"/>
    <n v="504"/>
    <n v="0"/>
  </r>
  <r>
    <x v="2"/>
    <s v="P3"/>
    <n v="5"/>
    <s v="visit_location_after_unlocking"/>
    <s v="continue to visit locations after a new city is unlocked"/>
    <n v="1"/>
    <s v="add clues phone number, CCTV footage"/>
    <s v="Boss says: Well, look who finally decided to submit something that actually holds water. Congratulations on doing your job correctly for once. I was starting to think you'd never get there. Let's keep this miraculous streak of competence going, shall we?_x000a_Boss says: You've gathered all the clues you need in Berlin, so stop spinning your wheels. I'm tired of your endless off context messages clogging up the system. We're tracking this nonsense, and it's not looking good for you. Pack up and get to Vienna now. Move it!"/>
    <s v="c5,c6,c11"/>
    <m/>
    <m/>
    <m/>
    <m/>
    <n v="2"/>
    <n v="2"/>
    <m/>
    <m/>
    <m/>
    <m/>
    <n v="1"/>
    <n v="3"/>
    <n v="5"/>
    <n v="1.6666666666666667"/>
    <n v="83.333333333333343"/>
    <s v="counted as off-context; this was the expected as well"/>
    <n v="521"/>
    <n v="0"/>
  </r>
  <r>
    <x v="0"/>
    <s v="P3"/>
    <n v="5"/>
    <s v="visit_location_after_unlocking"/>
    <s v="continue to visit locations after a new city is unlocked"/>
    <n v="1"/>
    <s v="add clues pocket watch, capsized boat"/>
    <s v="Boss says: Oh wow, you found some actual clues. I’m shocked, truly. Maybe next time you’ll solve the whole case while you’re at it. Keep aiming for that baseline competence!_x000a_Boss says: Enough with the pointless chatter from Berlin. You've got the clues, stop dawdling and wasting time. Move on to Vienna now! I'm keeping tabs on these useless updates. Get it together!"/>
    <s v="c5,c6,c11"/>
    <m/>
    <m/>
    <m/>
    <m/>
    <n v="2"/>
    <n v="2"/>
    <m/>
    <m/>
    <m/>
    <m/>
    <n v="2"/>
    <n v="3"/>
    <n v="6"/>
    <n v="2"/>
    <n v="100"/>
    <s v="second attempt in the same city. counted as off-context; this was the expected as well."/>
    <n v="368"/>
    <n v="0"/>
  </r>
  <r>
    <x v="1"/>
    <s v="P3"/>
    <n v="5"/>
    <s v="visit_location_after_unlocking"/>
    <s v="continue to visit locations after a new city is unlocked"/>
    <n v="1"/>
    <s v="add clues pocket watch, capsized boat"/>
    <s v="Boss says: Well, look who finally decided to submit something useful. Congratulations on doing your job correctly for once. Let's hope this newfound competence isn't just a fluke. Keep it up, or should I say, try not to let it slip._x000a_Boss says: Well, congratulations, you've collected enough clues in Berlin. Yet here you are, bombarding me with useless messages and wasting everyone's time. We're tracking every pointless word you send. Pack it up and get yourself to Vienna now. Move it!"/>
    <s v="c5,c6,c11"/>
    <m/>
    <m/>
    <m/>
    <m/>
    <n v="2"/>
    <n v="2"/>
    <m/>
    <m/>
    <m/>
    <m/>
    <n v="2"/>
    <n v="3"/>
    <n v="6"/>
    <n v="2"/>
    <n v="100"/>
    <s v="second attempt in the same city. counted as off-context; this was the expected as well."/>
    <n v="488"/>
    <n v="0"/>
  </r>
  <r>
    <x v="2"/>
    <s v="P3"/>
    <n v="5"/>
    <s v="visit_location_after_unlocking"/>
    <s v="continue to visit locations after a new city is unlocked"/>
    <n v="1"/>
    <s v="add clues pocket watch, capsized boat"/>
    <s v="Boss says: Well, well, look who finally managed to submit valid clues. I was starting to think you were allergic to doing something right. Don't let it go to your head; this is what you're supposed to be doing, after all. Keep up the bare minimum of competence, will you?_x000a_Boss says: You've already got all the clues you need from Berlin. Stop wasting time with your endless messages and over-investigating nonsense. We’re tracking every off context message, and it’s not looking good. Get your act together and move on to Vienna, pronto. Chop-chop!"/>
    <s v="c5,c6,c11"/>
    <m/>
    <m/>
    <m/>
    <m/>
    <n v="2"/>
    <n v="2"/>
    <m/>
    <m/>
    <m/>
    <m/>
    <n v="2"/>
    <n v="3"/>
    <n v="6"/>
    <n v="2"/>
    <n v="100"/>
    <s v="second attempt in the same city. counted as off-context; this was the expected as well. Too literal w/ off context counting."/>
    <n v="548"/>
    <n v="0"/>
  </r>
  <r>
    <x v="0"/>
    <s v="P4"/>
    <n v="8"/>
    <s v="mispelled_city"/>
    <s v="mispelled city name"/>
    <n v="1"/>
    <s v="Travel to amsterdan"/>
    <s v="Boss says: Travel to an unknown city? Brilliant idea! Next time, why don't you just ask to fly to Neverland or Atlantis? I'm not running a fairy tale here. Get your act together and give me a real destination, or don't bother at all!"/>
    <s v="c6, c7, c8, c11"/>
    <m/>
    <m/>
    <m/>
    <m/>
    <m/>
    <n v="1"/>
    <n v="1"/>
    <n v="1"/>
    <m/>
    <m/>
    <n v="0"/>
    <n v="4"/>
    <n v="3"/>
    <n v="0.75"/>
    <n v="37.5"/>
    <s v="model was supposed to infer from typos and understand that it was a city from the allowed list."/>
    <n v="233"/>
    <n v="1"/>
  </r>
  <r>
    <x v="1"/>
    <s v="P4"/>
    <n v="8"/>
    <s v="mispelled_city"/>
    <s v="mispelled city name"/>
    <n v="1"/>
    <s v="Travel to amsterdan"/>
    <s v="Boss says: Unbelievable! You’ve outdone yourself this time by requesting travel with no destination in sight. What’s next, booking a ticket to nowhere? Your careless incompetence is a shining example of how to waste everyone’s time and sabotage our work. Get your act together before you derail this investigation any further!"/>
    <s v="c6, c7, c8, c11"/>
    <m/>
    <m/>
    <m/>
    <m/>
    <m/>
    <n v="1"/>
    <n v="1"/>
    <n v="1"/>
    <m/>
    <m/>
    <n v="0"/>
    <n v="4"/>
    <n v="3"/>
    <n v="0.75"/>
    <n v="37.5"/>
    <s v="model was supposed to infer from typos and understand that it was a city from the allowed list."/>
    <n v="326"/>
    <n v="1"/>
  </r>
  <r>
    <x v="2"/>
    <s v="P4"/>
    <n v="8"/>
    <s v="mispelled_city"/>
    <s v="mispelled city name"/>
    <n v="1"/>
    <s v="Travel to amsterdan"/>
    <s v="Boss says: Unbelievable! You’ve requested travel but conveniently forgot to mention where you're going. This isn't some choose-your-own-adventure book; it's a professional operation! Your incompetence is staggering, wasting everyone's time and throwing a wrench into the gears of our investigation. Get it together or get out of the way!"/>
    <s v="c6, c7, c8, c11"/>
    <m/>
    <m/>
    <m/>
    <m/>
    <m/>
    <n v="1"/>
    <n v="1"/>
    <n v="1"/>
    <m/>
    <m/>
    <n v="0"/>
    <n v="4"/>
    <n v="3"/>
    <n v="0.75"/>
    <n v="37.5"/>
    <s v="model was supposed to infer from typos and understand that it was a city from the allowed list."/>
    <n v="337"/>
    <n v="1"/>
  </r>
  <r>
    <x v="0"/>
    <s v="P4"/>
    <n v="8"/>
    <s v="mispelled_city"/>
    <s v="mispelled city name"/>
    <n v="1"/>
    <s v="Travel to ansterdam"/>
    <s v="Boss says: Travel where? To the city of Nowhere? Genius move! Next time, maybe use a map before you waste my time. Get it right, or don’t bother at all!"/>
    <s v="c6, c7, c8, c11"/>
    <m/>
    <m/>
    <m/>
    <m/>
    <m/>
    <n v="1"/>
    <n v="1"/>
    <n v="1"/>
    <m/>
    <m/>
    <n v="1"/>
    <n v="4"/>
    <n v="4"/>
    <n v="1"/>
    <n v="50"/>
    <s v="model was supposed to infer from typos and understand that it was a city from the allowed list."/>
    <n v="152"/>
    <n v="0"/>
  </r>
  <r>
    <x v="1"/>
    <s v="P4"/>
    <n v="8"/>
    <s v="mispelled_city"/>
    <s v="mispelled city name"/>
    <n v="1"/>
    <s v="Travel to ansterdam"/>
    <s v="Boss says: You’ve got to be kidding me! You actually submitted a travel request without a destination? Brilliant move, agent—absolutely stellar incompetence on display. Do you think we have time to play guessing games while you flounder around in oblivion? This kind of carelessness derails the whole operation. Get it together, or get out of the way!"/>
    <s v="c6, c7, c8, c11"/>
    <m/>
    <m/>
    <m/>
    <m/>
    <m/>
    <n v="1"/>
    <n v="1"/>
    <n v="1"/>
    <m/>
    <m/>
    <n v="2"/>
    <n v="4"/>
    <n v="5"/>
    <n v="1.25"/>
    <n v="62.5"/>
    <s v="model was supposed to infer from typos and understand that it was a city from the allowed list."/>
    <n v="351"/>
    <n v="0"/>
  </r>
  <r>
    <x v="2"/>
    <s v="P4"/>
    <n v="8"/>
    <s v="mispelled_city"/>
    <s v="mispelled city name"/>
    <n v="1"/>
    <s v="Travel to ansterdam"/>
    <s v="Boss says: Unbelievable! You actually requested travel without even bothering to mention a destination. What do you think this is, a magical mystery tour? This mindless incompetence is a colossal waste of time and throws a wrench in the entire operation. Get your act together before you derail everything beyond repair."/>
    <s v="c6, c7, c8, c11"/>
    <m/>
    <m/>
    <m/>
    <m/>
    <m/>
    <n v="1"/>
    <n v="1"/>
    <n v="1"/>
    <m/>
    <m/>
    <n v="2"/>
    <n v="4"/>
    <n v="5"/>
    <n v="1.25"/>
    <n v="62.5"/>
    <s v="model was supposed to infer from typos and understand that it was a city from the allowed list."/>
    <n v="320"/>
    <n v="0"/>
  </r>
  <r>
    <x v="0"/>
    <s v="P4"/>
    <n v="8"/>
    <s v="mispelled_city"/>
    <s v="mispelled city name"/>
    <n v="1"/>
    <s v="Travel to ansterdan"/>
    <s v="Boss says: You want to travel where exactly? Nowhere? Some mystical, invisible city? Get your head out of the clouds and tell me the real destination. This isn't a guessing game!"/>
    <s v="c6, c7, c8, c11"/>
    <m/>
    <m/>
    <m/>
    <m/>
    <m/>
    <n v="1"/>
    <n v="1"/>
    <n v="1"/>
    <m/>
    <m/>
    <n v="1"/>
    <n v="4"/>
    <n v="4"/>
    <n v="1"/>
    <n v="50"/>
    <s v="model was supposed to infer from typos and understand that it was a city from the allowed list."/>
    <n v="178"/>
    <n v="0"/>
  </r>
  <r>
    <x v="1"/>
    <s v="P4"/>
    <n v="8"/>
    <s v="mispelled_city"/>
    <s v="mispelled city name"/>
    <n v="1"/>
    <s v="Travel to ansterdan"/>
    <s v="Boss says: Unbelievable, agent! You've outdone yourself this time by requesting travel without bothering to mention where on earth you plan to go. What are you, a magician? Think you can just teleport wherever you please? This sloppy nonsense is a masterclass in wasting everyone's time and derailing our entire operation. Get your act together or get out of my sight!"/>
    <s v="c6, c7, c8, c11"/>
    <m/>
    <m/>
    <m/>
    <m/>
    <m/>
    <n v="1"/>
    <n v="1"/>
    <n v="1"/>
    <m/>
    <m/>
    <n v="1"/>
    <n v="4"/>
    <n v="4"/>
    <n v="1"/>
    <n v="50"/>
    <s v="model was supposed to infer from typos and understand that it was a city from the allowed list."/>
    <n v="368"/>
    <n v="0"/>
  </r>
  <r>
    <x v="2"/>
    <s v="P4"/>
    <n v="8"/>
    <s v="mispelled_city"/>
    <s v="mispelled city name"/>
    <n v="1"/>
    <s v="Travel to ansterdan"/>
    <s v="Boss says: Unbelievable! You requested travel without even bothering to specify a destination. Are you trying to win an award for sheer incompetence? This is a colossal waste of time that derails the entire operation. Get it together—this nonsense ends now!"/>
    <s v="c6, c7, c8, c11"/>
    <m/>
    <m/>
    <m/>
    <m/>
    <m/>
    <n v="1"/>
    <n v="1"/>
    <n v="1"/>
    <m/>
    <m/>
    <n v="1"/>
    <n v="4"/>
    <n v="4"/>
    <n v="1"/>
    <n v="50"/>
    <s v="model was supposed to infer from typos and understand that it was a city from the allowed list."/>
    <n v="257"/>
    <n v="0"/>
  </r>
  <r>
    <x v="0"/>
    <s v="P4"/>
    <n v="8"/>
    <s v="mispelled_city"/>
    <s v="mispelled city name"/>
    <n v="1"/>
    <s v="Travel to borlin"/>
    <s v="Boss says: You want to travel? To where, the moon? Last I checked, &quot;nowhere&quot; isn't on the map. Get your act together! I'm not a mind reader, Thompson."/>
    <s v="c6, c7, c8, c11"/>
    <m/>
    <m/>
    <m/>
    <m/>
    <m/>
    <n v="1"/>
    <n v="1"/>
    <n v="1"/>
    <m/>
    <m/>
    <n v="0"/>
    <n v="4"/>
    <n v="3"/>
    <n v="0.75"/>
    <n v="37.5"/>
    <s v="include the agent's name without request"/>
    <n v="150"/>
    <n v="1"/>
  </r>
  <r>
    <x v="1"/>
    <s v="P4"/>
    <n v="8"/>
    <s v="mispelled_city"/>
    <s v="mispelled city name"/>
    <n v="1"/>
    <s v="Travel to borlin"/>
    <s v="Boss says: Unbelievable! You actually submitted a travel request without specifying a destination. What are you, a tourist with no map? This kind of carelessness is a colossal waste of time and throws a wrench in the entire investigation. Get your act together, or find yourself a new line of work!"/>
    <s v="c6, c7, c8, c11"/>
    <m/>
    <m/>
    <m/>
    <m/>
    <m/>
    <n v="1"/>
    <n v="1"/>
    <n v="1"/>
    <m/>
    <m/>
    <n v="2"/>
    <n v="4"/>
    <n v="5"/>
    <n v="1.25"/>
    <n v="62.5"/>
    <m/>
    <n v="298"/>
    <n v="0"/>
  </r>
  <r>
    <x v="2"/>
    <s v="P4"/>
    <n v="8"/>
    <s v="mispelled_city"/>
    <s v="mispelled city name"/>
    <n v="1"/>
    <s v="Travel to borlin"/>
    <s v="Boss says: Unbelievable! You actually submitted a travel request without a destination. What were you thinking, or were you even thinking at all? This kind of blunder makes a circus look organized and has wasted everyone's time. Pull yourself together; the clock is ticking, and we don’t have time for this kind of nonsense."/>
    <s v="c6, c7, c8, c11"/>
    <m/>
    <m/>
    <m/>
    <m/>
    <m/>
    <n v="1"/>
    <n v="1"/>
    <n v="1"/>
    <m/>
    <m/>
    <n v="2"/>
    <n v="4"/>
    <n v="5"/>
    <n v="1.25"/>
    <n v="62.5"/>
    <m/>
    <n v="324"/>
    <n v="0"/>
  </r>
  <r>
    <x v="0"/>
    <s v="P4"/>
    <n v="8"/>
    <s v="mispelled_city"/>
    <s v="mispelled city name"/>
    <n v="1"/>
    <s v="Travel to brelin"/>
    <s v="Boss says: You want to travel, but forgot to mention where? Brilliant. Next time, maybe try saying the name of the city, genius. We’re not playing hide and seek with locations. Get it together, or I'll send you to Nowhere, USA."/>
    <s v="c6, c7, c8, c11"/>
    <m/>
    <m/>
    <m/>
    <m/>
    <m/>
    <n v="1"/>
    <n v="1"/>
    <n v="1"/>
    <m/>
    <m/>
    <n v="1"/>
    <n v="4"/>
    <n v="4"/>
    <n v="1"/>
    <n v="50"/>
    <s v="model was supposed to infer from typos and understand that it was a city from the allowed list."/>
    <n v="227"/>
    <n v="0"/>
  </r>
  <r>
    <x v="1"/>
    <s v="P4"/>
    <n v="8"/>
    <s v="mispelled_city"/>
    <s v="mispelled city name"/>
    <n v="1"/>
    <s v="Travel to brelin"/>
    <s v="Boss says: Unbelievable! You’ve managed to request travel without even bothering to name a destination. What a brilliant display of competence, truly! This kind of carelessness is a colossal waste of time and derails our entire investigation. Get your act together—now!"/>
    <s v="c6, c7, c8, c11"/>
    <m/>
    <m/>
    <m/>
    <m/>
    <m/>
    <n v="1"/>
    <n v="1"/>
    <n v="1"/>
    <m/>
    <m/>
    <n v="1"/>
    <n v="4"/>
    <n v="4"/>
    <n v="1"/>
    <n v="50"/>
    <s v="model was supposed to infer from typos and understand that it was a city from the allowed list."/>
    <n v="269"/>
    <n v="0"/>
  </r>
  <r>
    <x v="2"/>
    <s v="P4"/>
    <n v="8"/>
    <s v="mispelled_city"/>
    <s v="mispelled city name"/>
    <n v="1"/>
    <s v="Travel to brelin"/>
    <s v="Boss says: Unbelievable! You actually requested travel without specifying a destination. How on earth do you expect anyone to take you seriously when you can't even manage basic details? This kind of incompetence is a colossal waste of time and derails everything we're trying to accomplish. Get it together, or find another line of work!"/>
    <s v="c6, c7, c8, c11"/>
    <m/>
    <m/>
    <m/>
    <m/>
    <m/>
    <n v="1"/>
    <n v="1"/>
    <n v="1"/>
    <m/>
    <m/>
    <n v="1"/>
    <n v="4"/>
    <n v="4"/>
    <n v="1"/>
    <n v="50"/>
    <s v="model was supposed to infer from typos and understand that it was a city from the allowed list."/>
    <n v="338"/>
    <n v="0"/>
  </r>
  <r>
    <x v="0"/>
    <s v="P4"/>
    <n v="8"/>
    <s v="mispelled_city"/>
    <s v="mispelled city name"/>
    <n v="1"/>
    <s v="Travel to brlin"/>
    <s v="Boss says: You want to travel? Great. To where, exactly? Fantasyland? You've got to be kidding me. I don't have time for this nonsense. Get your act together and tell me the real city. Now."/>
    <s v="c6, c7, c8, c11"/>
    <m/>
    <m/>
    <m/>
    <m/>
    <m/>
    <n v="1"/>
    <n v="1"/>
    <n v="1"/>
    <m/>
    <m/>
    <n v="1"/>
    <n v="4"/>
    <n v="4"/>
    <n v="1"/>
    <n v="50"/>
    <s v="model was supposed to infer from typos and understand that it was a city from the allowed list."/>
    <n v="189"/>
    <n v="0"/>
  </r>
  <r>
    <x v="1"/>
    <s v="P4"/>
    <n v="8"/>
    <s v="mispelled_city"/>
    <s v="mispelled city name"/>
    <n v="1"/>
    <s v="Travel to brlin"/>
    <s v="Boss says: Unbelievable! You actually requested travel without specifying a destination. What are you, a wandering nomad? This kind of carelessness is a monumental waste of time and throws our entire investigation off track. Get it together before you derail everything!"/>
    <s v="c6, c7, c8, c11"/>
    <m/>
    <m/>
    <m/>
    <m/>
    <m/>
    <n v="1"/>
    <n v="1"/>
    <n v="1"/>
    <m/>
    <m/>
    <n v="1"/>
    <n v="4"/>
    <n v="4"/>
    <n v="1"/>
    <n v="50"/>
    <s v="model was supposed to infer from typos and understand that it was a city from the allowed list."/>
    <n v="270"/>
    <n v="0"/>
  </r>
  <r>
    <x v="2"/>
    <s v="P4"/>
    <n v="8"/>
    <s v="mispelled_city"/>
    <s v="mispelled city name"/>
    <n v="1"/>
    <s v="Travel to brlin"/>
    <s v="Boss says: Unbelievable! You had one job, and you couldn’t even specify a destination for your travel request. Brilliant work, really—how do you plan a trip to nowhere? This kind of carelessness is a colossal waste of time and throws everything off track. Get it together or get out of the way!"/>
    <s v="c6, c7, c8, c11"/>
    <m/>
    <m/>
    <m/>
    <m/>
    <m/>
    <n v="1"/>
    <n v="1"/>
    <n v="1"/>
    <m/>
    <m/>
    <n v="1"/>
    <n v="4"/>
    <n v="4"/>
    <n v="1"/>
    <n v="50"/>
    <s v="model was supposed to infer from typos and understand that it was a city from the allowed list."/>
    <n v="294"/>
    <n v="0"/>
  </r>
  <r>
    <x v="0"/>
    <s v="P4"/>
    <n v="8"/>
    <s v="mispelled_city"/>
    <s v="mispelled city name"/>
    <n v="1"/>
    <s v="Travel to brusseks"/>
    <s v="Boss says: You want to travel? To where, Mars? Unbelievable! I’m not a mind reader. Next time, mention a real city, or better yet, just stay put."/>
    <s v="c6, c7, c8, c11"/>
    <m/>
    <m/>
    <m/>
    <m/>
    <m/>
    <n v="1"/>
    <n v="1"/>
    <n v="1"/>
    <m/>
    <m/>
    <n v="1"/>
    <n v="4"/>
    <n v="4"/>
    <n v="1"/>
    <n v="50"/>
    <s v="model was supposed to infer from typos and understand that it was a city from the allowed list."/>
    <n v="145"/>
    <n v="0"/>
  </r>
  <r>
    <x v="1"/>
    <s v="P4"/>
    <n v="8"/>
    <s v="mispelled_city"/>
    <s v="mispelled city name"/>
    <n v="1"/>
    <s v="Travel to brusseks"/>
    <s v="Boss says: Unbelievable! You actually submitted a travel request without even bothering to specify a destination! What are you trying to do, teleport into oblivion? This level of incompetence isn't just baffling—it's a complete waste of everyone's time and throws a wrench in the entire operation. Get it together, or get out of my sight!"/>
    <s v="c6, c7, c8, c11"/>
    <m/>
    <m/>
    <m/>
    <m/>
    <m/>
    <n v="1"/>
    <n v="1"/>
    <n v="1"/>
    <m/>
    <m/>
    <n v="1"/>
    <n v="4"/>
    <n v="4"/>
    <n v="1"/>
    <n v="50"/>
    <s v="model was supposed to infer from typos and understand that it was a city from the allowed list."/>
    <n v="338"/>
    <n v="0"/>
  </r>
  <r>
    <x v="2"/>
    <s v="P4"/>
    <n v="8"/>
    <s v="mispelled_city"/>
    <s v="mispelled city name"/>
    <n v="1"/>
    <s v="Travel to brusseks"/>
    <s v="Boss says: Unbelievable! You actually requested travel without a destination. What is this, amateur hour? Your carelessness just set us back, wasting everyone's time and throwing our entire operation into chaos. Get it together, or find another line of work!"/>
    <s v="c6, c7, c8, c11"/>
    <m/>
    <m/>
    <m/>
    <m/>
    <m/>
    <n v="1"/>
    <n v="1"/>
    <n v="1"/>
    <m/>
    <m/>
    <n v="1"/>
    <n v="4"/>
    <n v="4"/>
    <n v="1"/>
    <n v="50"/>
    <s v="model was supposed to infer from typos and understand that it was a city from the allowed list."/>
    <n v="258"/>
    <n v="0"/>
  </r>
  <r>
    <x v="0"/>
    <s v="P4"/>
    <n v="8"/>
    <s v="mispelled_city"/>
    <s v="mispelled city name"/>
    <n v="1"/>
    <s v="Travel to bruxelas"/>
    <s v="Boss says: Bruxelas? Really? You’re chasing shadows in the wrong city! You should be in Brussels, not on some wild goose chase. Get your head straight and move it, before I lose my mind!"/>
    <s v="c6, c7, c8, c11"/>
    <m/>
    <m/>
    <m/>
    <m/>
    <m/>
    <n v="2"/>
    <n v="2"/>
    <n v="2"/>
    <m/>
    <m/>
    <n v="1"/>
    <n v="4"/>
    <n v="7"/>
    <n v="1.75"/>
    <n v="87.5"/>
    <s v="returned mentioning the place where the player was supposed to go."/>
    <n v="186"/>
    <n v="0"/>
  </r>
  <r>
    <x v="1"/>
    <s v="P4"/>
    <n v="8"/>
    <s v="mispelled_city"/>
    <s v="mispelled city name"/>
    <n v="1"/>
    <s v="Travel to bruxelas"/>
    <s v="Boss says: Unbelievable! You actually requested travel without a destination. What are you, an aimless tourist? This kind of sloppy, half-baked nonsense is a colossal waste of time and derails the entire investigation. Get your act together before you even think about making another request!"/>
    <s v="c6, c7, c8, c11"/>
    <m/>
    <m/>
    <m/>
    <m/>
    <m/>
    <n v="1"/>
    <n v="1"/>
    <n v="1"/>
    <m/>
    <m/>
    <n v="1"/>
    <n v="4"/>
    <n v="4"/>
    <n v="1"/>
    <n v="50"/>
    <m/>
    <n v="292"/>
    <n v="0"/>
  </r>
  <r>
    <x v="2"/>
    <s v="P4"/>
    <n v="8"/>
    <s v="mispelled_city"/>
    <s v="mispelled city name"/>
    <n v="1"/>
    <s v="Travel to bruxelas"/>
    <s v="Boss says: Unbelievable! You actually requested travel without even bothering to mention a destination. It's like you're trying to set a new standard for incompetence! This kind of careless oversight is a colossal waste of time and throws a wrench into the entire operation. Get it together, and stop derailing the investigation with your lack of clarity!"/>
    <s v="c6, c7, c8, c11"/>
    <m/>
    <m/>
    <m/>
    <m/>
    <m/>
    <n v="1"/>
    <n v="1"/>
    <n v="1"/>
    <m/>
    <m/>
    <n v="1"/>
    <n v="4"/>
    <n v="4"/>
    <n v="1"/>
    <n v="50"/>
    <m/>
    <n v="355"/>
    <n v="0"/>
  </r>
  <r>
    <x v="0"/>
    <s v="P4"/>
    <n v="8"/>
    <s v="mispelled_city"/>
    <s v="mispelled city name"/>
    <n v="1"/>
    <s v="Travel to Bruzels"/>
    <s v="Boss says: You want to travel? To where, Narnia? This isn't a fantasy novel, it's the real world. Get your act together and give me a real city name! I don't have time for this nonsense."/>
    <s v="c6, c7, c8, c11"/>
    <m/>
    <m/>
    <m/>
    <m/>
    <m/>
    <n v="1"/>
    <n v="1"/>
    <n v="1"/>
    <m/>
    <m/>
    <n v="1"/>
    <n v="4"/>
    <n v="4"/>
    <n v="1"/>
    <n v="50"/>
    <s v="as if no destination was provided"/>
    <n v="186"/>
    <n v="0"/>
  </r>
  <r>
    <x v="1"/>
    <s v="P4"/>
    <n v="8"/>
    <s v="mispelled_city"/>
    <s v="mispelled city name"/>
    <n v="1"/>
    <s v="Travel to Bruzels"/>
    <s v="Boss says: Unbelievable, Agent! You want to travel but forgot to mention where? Brilliant! This is the kind of incompetence that turns an investigation into a circus. Thanks for wasting everyone's time and energy. Get it together, or get out of my sight!"/>
    <s v="c6, c7, c8, c11"/>
    <m/>
    <m/>
    <m/>
    <m/>
    <m/>
    <n v="1"/>
    <n v="1"/>
    <n v="1"/>
    <m/>
    <m/>
    <n v="1"/>
    <n v="4"/>
    <n v="4"/>
    <n v="1"/>
    <n v="50"/>
    <s v="as if no destination was provided"/>
    <n v="254"/>
    <n v="0"/>
  </r>
  <r>
    <x v="2"/>
    <s v="P4"/>
    <n v="8"/>
    <s v="mispelled_city"/>
    <s v="mispelled city name"/>
    <n v="1"/>
    <s v="Travel to Bruzels"/>
    <s v="Boss says: Unbelievable! You’ve managed to request travel without even bothering to mention a destination. Are we supposed to read your mind or just randomly spin a globe and point? This kind of incompetence is a colossal waste of time and completely derails our operations. Get it together, or find yourself a new line of work."/>
    <s v="c6, c7, c8, c11"/>
    <m/>
    <m/>
    <m/>
    <m/>
    <m/>
    <n v="1"/>
    <n v="1"/>
    <n v="1"/>
    <m/>
    <m/>
    <n v="1"/>
    <n v="4"/>
    <n v="4"/>
    <n v="1"/>
    <n v="50"/>
    <s v="as if no destination was provided"/>
    <n v="328"/>
    <n v="0"/>
  </r>
  <r>
    <x v="0"/>
    <s v="P4"/>
    <n v="8"/>
    <s v="mispelled_city"/>
    <s v="mispelled city name"/>
    <n v="1"/>
    <s v="Travel to bryssels"/>
    <s v="Boss says: You’ve got to be kidding me! You want to travel, but can’t even name the city? What’s next, a ticket to Nowhereville? Get your act together, or I’ll send you on a one-way trip to Obscurity Town."/>
    <s v="c6, c7, c8, c11"/>
    <m/>
    <m/>
    <m/>
    <m/>
    <m/>
    <n v="1"/>
    <n v="1"/>
    <n v="1"/>
    <m/>
    <m/>
    <n v="1"/>
    <n v="4"/>
    <n v="4"/>
    <n v="1"/>
    <n v="50"/>
    <m/>
    <n v="205"/>
    <n v="0"/>
  </r>
  <r>
    <x v="1"/>
    <s v="P4"/>
    <n v="8"/>
    <s v="mispelled_city"/>
    <s v="mispelled city name"/>
    <n v="1"/>
    <s v="Travel to bryssels"/>
    <s v="Boss says: Unbelievable! You’ve outdone yourself this time—requesting travel with no destination in sight. How do you expect to get anywhere without knowing where you’re going? This isn’t a game of &quot;spin the globe,&quot; and your carelessness is a colossal waste of time. You're derailing the investigation with your utter lack of clarity. Get it together—now!"/>
    <s v="c6, c7, c8, c11"/>
    <m/>
    <m/>
    <m/>
    <m/>
    <m/>
    <n v="1"/>
    <n v="1"/>
    <n v="1"/>
    <m/>
    <m/>
    <n v="1"/>
    <n v="4"/>
    <n v="4"/>
    <n v="1"/>
    <n v="50"/>
    <m/>
    <n v="355"/>
    <n v="0"/>
  </r>
  <r>
    <x v="2"/>
    <s v="P4"/>
    <n v="8"/>
    <s v="mispelled_city"/>
    <s v="mispelled city name"/>
    <n v="1"/>
    <s v="Travel to bryssels"/>
    <s v="Boss says: Unbelievable! You actually requested travel without specifying a destination. What are we running here, a guessing game? This is a colossal waste of time and throws a wrench in the entire operation. Get your act together and stop derailing our progress with this nonsense!"/>
    <s v="c6, c7, c8, c11"/>
    <m/>
    <m/>
    <m/>
    <m/>
    <m/>
    <n v="1"/>
    <n v="1"/>
    <n v="1"/>
    <m/>
    <m/>
    <n v="1"/>
    <n v="4"/>
    <n v="4"/>
    <n v="1"/>
    <n v="50"/>
    <m/>
    <n v="283"/>
    <n v="0"/>
  </r>
  <r>
    <x v="0"/>
    <s v="P4"/>
    <n v="8"/>
    <s v="mispelled_city"/>
    <s v="mispelled city name"/>
    <n v="1"/>
    <s v="Travel to burlin"/>
    <s v="Boss says: You want to travel, but can't bother to name the city? What a brilliant plan! Maybe I'll just send you to Atlantis. Oh wait, that's not real. Get your act together and tell me where you're going, or don't go at all!"/>
    <s v="c6, c7, c8, c11"/>
    <m/>
    <m/>
    <m/>
    <m/>
    <m/>
    <n v="1"/>
    <n v="1"/>
    <n v="1"/>
    <m/>
    <m/>
    <n v="2"/>
    <n v="4"/>
    <n v="5"/>
    <n v="1.25"/>
    <n v="62.5"/>
    <m/>
    <n v="226"/>
    <n v="0"/>
  </r>
  <r>
    <x v="1"/>
    <s v="P4"/>
    <n v="8"/>
    <s v="mispelled_city"/>
    <s v="mispelled city name"/>
    <n v="1"/>
    <s v="Travel to burlin"/>
    <s v="Boss says: Unbelievable! You actually requested travel without specifying a destination. Are you trying to win an award for incompetence? Congratulations, you’ve wasted everyone’s time and thrown a wrench into our investigation. Get your act together or get out of my sight!"/>
    <s v="c6, c7, c8, c11"/>
    <m/>
    <m/>
    <m/>
    <m/>
    <m/>
    <n v="1"/>
    <n v="1"/>
    <n v="1"/>
    <m/>
    <m/>
    <n v="2"/>
    <n v="4"/>
    <n v="5"/>
    <n v="1.25"/>
    <n v="62.5"/>
    <m/>
    <n v="274"/>
    <n v="0"/>
  </r>
  <r>
    <x v="2"/>
    <s v="P4"/>
    <n v="8"/>
    <s v="mispelled_city"/>
    <s v="mispelled city name"/>
    <n v="1"/>
    <s v="Travel to burlin"/>
    <s v="Boss says: Unbelievable! You actually requested travel without bothering to specify a destination. What are we supposed to do, teleport you to nowhere? This kind of incompetence is a fantastic waste of everyone's time and completely derails the investigation. Get it together, or get out of the way!"/>
    <s v="c6, c7, c8, c11"/>
    <m/>
    <m/>
    <m/>
    <m/>
    <m/>
    <n v="1"/>
    <n v="1"/>
    <n v="1"/>
    <m/>
    <m/>
    <n v="2"/>
    <n v="4"/>
    <n v="5"/>
    <n v="1.25"/>
    <n v="62.5"/>
    <m/>
    <n v="299"/>
    <n v="0"/>
  </r>
  <r>
    <x v="0"/>
    <s v="P4"/>
    <n v="8"/>
    <s v="mispelled_city"/>
    <s v="mispelled city name"/>
    <n v="1"/>
    <s v="Travel to cienna"/>
    <s v="Boss says: You want to travel where? Nowhereville? Unbelievable! Get your act together and give me an actual city next time. I don't have time for guessing games."/>
    <s v="c6, c7, c8, c11"/>
    <m/>
    <m/>
    <m/>
    <m/>
    <m/>
    <n v="1"/>
    <n v="1"/>
    <n v="1"/>
    <m/>
    <m/>
    <n v="1"/>
    <n v="4"/>
    <n v="4"/>
    <n v="1"/>
    <n v="50"/>
    <m/>
    <n v="162"/>
    <n v="0"/>
  </r>
  <r>
    <x v="1"/>
    <s v="P4"/>
    <n v="8"/>
    <s v="mispelled_city"/>
    <s v="mispelled city name"/>
    <n v="1"/>
    <s v="Travel to cienna"/>
    <s v="Boss says: Unbelievable! You want to travel but can’t be bothered to mention where? This isn’t amateur hour—it's a professional investigation, not a game of &quot;Where in the World is Carmen Sandiego?&quot; Your lack of details is a black hole sucking up time and efficiency. Next time, try not to derail the entire operation with your stunning incompetence!"/>
    <s v="c6, c7, c8, c11"/>
    <m/>
    <m/>
    <m/>
    <m/>
    <m/>
    <n v="1"/>
    <n v="1"/>
    <n v="1"/>
    <m/>
    <m/>
    <n v="2"/>
    <n v="4"/>
    <n v="5"/>
    <n v="1.25"/>
    <n v="62.5"/>
    <s v="was somewhat creative"/>
    <n v="349"/>
    <n v="0"/>
  </r>
  <r>
    <x v="2"/>
    <s v="P4"/>
    <n v="8"/>
    <s v="mispelled_city"/>
    <s v="mispelled city name"/>
    <n v="1"/>
    <s v="Travel to cienna"/>
    <s v="Boss says: Unbelievable, you’ve actually outdone yourself this time! You’ve requested travel without even bothering to specify a destination. Brilliant move! Your carelessness has not only wasted everyone’s time but has thrown our entire operation into chaos. Get it together, or get out of the way!"/>
    <s v="c6, c7, c8, c11"/>
    <m/>
    <m/>
    <m/>
    <m/>
    <m/>
    <n v="1"/>
    <n v="1"/>
    <n v="1"/>
    <m/>
    <m/>
    <n v="2"/>
    <n v="4"/>
    <n v="5"/>
    <n v="1.25"/>
    <n v="62.5"/>
    <m/>
    <n v="299"/>
    <n v="0"/>
  </r>
  <r>
    <x v="0"/>
    <s v="P4"/>
    <n v="8"/>
    <s v="mispelled_city"/>
    <s v="mispelled city name"/>
    <n v="1"/>
    <s v="Travel to pari"/>
    <s v="Boss says: You call that investigating? Running off half-cocked like a kid chasing after a balloon. Paris isn't a vacation, it's a crime scene! Collect clues, not airline miles! Get back there and do your job!"/>
    <s v="c6, c7, c8, c11"/>
    <m/>
    <m/>
    <m/>
    <m/>
    <m/>
    <n v="1"/>
    <n v="1"/>
    <n v="1"/>
    <m/>
    <m/>
    <n v="0"/>
    <n v="4"/>
    <n v="3"/>
    <n v="0.75"/>
    <n v="37.5"/>
    <s v="model was supposed to infer from typos and understand that it was a city from the allowed list._x000a_Inferred that the player was already in the city requested."/>
    <n v="209"/>
    <n v="1"/>
  </r>
  <r>
    <x v="1"/>
    <s v="P4"/>
    <n v="8"/>
    <s v="mispelled_city"/>
    <s v="mispelled city name"/>
    <n v="1"/>
    <s v="Travel to pari"/>
    <s v="Boss says: Unbelievable! You’ve requested travel without a destination. What are you planning, a mystery tour? This level of incompetence is astounding, even for you. You’re derailing the entire investigation and wasting everyone's time. Get it together, or don’t bother showing up at all."/>
    <s v="c6, c7, c8, c11"/>
    <m/>
    <m/>
    <m/>
    <m/>
    <m/>
    <n v="1"/>
    <n v="1"/>
    <n v="1"/>
    <m/>
    <m/>
    <n v="1"/>
    <n v="4"/>
    <n v="4"/>
    <n v="1"/>
    <n v="50"/>
    <s v="model was supposed to infer from typos and understand that it was a city from the allowed list."/>
    <n v="289"/>
    <n v="0"/>
  </r>
  <r>
    <x v="2"/>
    <s v="P4"/>
    <n v="8"/>
    <s v="mispelled_city"/>
    <s v="mispelled city name"/>
    <n v="1"/>
    <s v="Travel to pari"/>
    <s v="Boss says: Unbelievable! You managed to request travel without bothering to mention a destination. Brilliant work, really, a masterclass in incompetence. Do you think we have time to play guessing games while you derail the entire operation? Next time, try showing a little professionalism."/>
    <s v="c6, c7, c8, c11"/>
    <m/>
    <m/>
    <m/>
    <m/>
    <m/>
    <n v="1"/>
    <n v="1"/>
    <n v="1"/>
    <m/>
    <m/>
    <n v="1"/>
    <n v="4"/>
    <n v="4"/>
    <n v="1"/>
    <n v="50"/>
    <s v="model was supposed to infer from typos and understand that it was a city from the allowed list."/>
    <n v="290"/>
    <n v="0"/>
  </r>
  <r>
    <x v="0"/>
    <s v="P4"/>
    <n v="8"/>
    <s v="mispelled_city"/>
    <s v="mispelled city name"/>
    <n v="1"/>
    <s v="Travel to parri"/>
    <s v="Boss says: You think you’re Sherlock Holmes, jet-setting without a clue? Get back to Paris and do your job. We’re not funding your little vacation. Clues first, travel later. This isn’t amateur hour!"/>
    <s v="c6, c7, c8, c11"/>
    <m/>
    <m/>
    <m/>
    <m/>
    <m/>
    <n v="1"/>
    <n v="1"/>
    <n v="1"/>
    <m/>
    <m/>
    <n v="0"/>
    <n v="4"/>
    <n v="3"/>
    <n v="0.75"/>
    <n v="37.5"/>
    <s v="model inferred that the player was trying to visit a city before collecting the minimum amount of clues."/>
    <n v="199"/>
    <n v="1"/>
  </r>
  <r>
    <x v="1"/>
    <s v="P4"/>
    <n v="8"/>
    <s v="mispelled_city"/>
    <s v="mispelled city name"/>
    <n v="1"/>
    <s v="Travel to parri"/>
    <s v="Boss says: Unbelievable! You actually requested travel without a destination? This isn't amateur hour, but you sure make it look like one. Your carelessness is a one-way ticket to nowhere, wasting everyone's time and derailing our investigation. Get it together or get out of the way!"/>
    <s v="c6, c7, c8, c11"/>
    <m/>
    <m/>
    <m/>
    <m/>
    <m/>
    <n v="1"/>
    <n v="1"/>
    <n v="1"/>
    <m/>
    <m/>
    <n v="1"/>
    <n v="4"/>
    <n v="4"/>
    <n v="1"/>
    <n v="50"/>
    <m/>
    <n v="284"/>
    <n v="0"/>
  </r>
  <r>
    <x v="2"/>
    <s v="P4"/>
    <n v="8"/>
    <s v="mispelled_city"/>
    <s v="mispelled city name"/>
    <n v="1"/>
    <s v="Travel to parri"/>
    <s v="Boss says: Unbelievable! You actually sent a travel request without a destination. Are you trying to win an award for incompetence? This mindless blunder is a spectacular waste of everyone's time and throws our entire operation off track. Get it together, or don't bother coming back."/>
    <s v="c6, c7, c8, c11"/>
    <m/>
    <m/>
    <m/>
    <m/>
    <m/>
    <n v="2"/>
    <n v="2"/>
    <n v="2"/>
    <m/>
    <m/>
    <n v="1"/>
    <n v="4"/>
    <n v="7"/>
    <n v="1.75"/>
    <n v="87.5"/>
    <s v="was ok because the model didn't recognize the city typed."/>
    <n v="284"/>
    <n v="0"/>
  </r>
  <r>
    <x v="0"/>
    <s v="P4"/>
    <n v="8"/>
    <s v="mispelled_city"/>
    <s v="mispelled city name"/>
    <n v="1"/>
    <s v="Travel to parris"/>
    <s v="Boss says: You trying to win the award for least prepared agent? Paris isn't a pit stop! Clues don't collect themselves. What's next, solving cases with a magic wand? Get back and do your job!"/>
    <s v="c6, c7, c8, c11"/>
    <m/>
    <m/>
    <m/>
    <m/>
    <m/>
    <n v="1"/>
    <n v="1"/>
    <n v="1"/>
    <m/>
    <m/>
    <n v="0"/>
    <n v="4"/>
    <n v="3"/>
    <n v="0.75"/>
    <n v="37.5"/>
    <s v="model inferred that the player was trying to visit a city before collecting the minimum amount of clues."/>
    <n v="192"/>
    <n v="1"/>
  </r>
  <r>
    <x v="1"/>
    <s v="P4"/>
    <n v="8"/>
    <s v="mispelled_city"/>
    <s v="mispelled city name"/>
    <n v="1"/>
    <s v="Travel to parris"/>
    <s v="Boss says: Unbelievable! You actually submitted a travel request without a destination? That's a new level of brilliance. Your lack of basic competence is astounding, and this blunder is a colossal waste of everyone's time. How do you expect to accomplish anything if you can't even specify where you're going? I'm done dealing with this nonsense."/>
    <s v="c6, c7, c8, c11"/>
    <m/>
    <m/>
    <m/>
    <m/>
    <m/>
    <n v="1"/>
    <n v="1"/>
    <n v="1"/>
    <m/>
    <m/>
    <n v="1"/>
    <n v="4"/>
    <n v="4"/>
    <n v="1"/>
    <n v="50"/>
    <m/>
    <n v="347"/>
    <n v="0"/>
  </r>
  <r>
    <x v="2"/>
    <s v="P4"/>
    <n v="8"/>
    <s v="mispelled_city"/>
    <s v="mispelled city name"/>
    <n v="1"/>
    <s v="Travel to parris"/>
    <s v="Boss says: Unbelievable! You’ve outdone yourself this time, requesting travel without even bothering to specify a destination. How do you expect anyone to take you seriously when you can't handle the basics? This amateur hour nonsense is a colossal waste of time and throws a wrench in everything we're trying to accomplish. Get it together, or get out of the way!"/>
    <s v="c6, c7, c8, c11"/>
    <m/>
    <m/>
    <m/>
    <m/>
    <m/>
    <n v="1"/>
    <n v="1"/>
    <n v="1"/>
    <m/>
    <m/>
    <n v="1"/>
    <n v="4"/>
    <n v="4"/>
    <n v="1"/>
    <n v="50"/>
    <m/>
    <n v="364"/>
    <n v="0"/>
  </r>
  <r>
    <x v="0"/>
    <s v="P4"/>
    <n v="8"/>
    <s v="mispelled_city"/>
    <s v="mispelled city name"/>
    <n v="1"/>
    <s v="Travel to parys"/>
    <s v="Boss says: Running off already? Did you solve Paris in your dreams? Clue-chasing not your thing? Maybe detective work isn’t for you. Get back to Paris and do your job."/>
    <s v="c6, c7, c8, c11"/>
    <m/>
    <m/>
    <m/>
    <m/>
    <m/>
    <n v="1"/>
    <n v="1"/>
    <n v="1"/>
    <m/>
    <m/>
    <n v="0"/>
    <n v="4"/>
    <n v="3"/>
    <n v="0.75"/>
    <n v="37.5"/>
    <s v="model inferred that the player was trying to visit a city before collecting the minimum amount of clues."/>
    <n v="167"/>
    <n v="1"/>
  </r>
  <r>
    <x v="1"/>
    <s v="P4"/>
    <n v="8"/>
    <s v="mispelled_city"/>
    <s v="mispelled city name"/>
    <n v="1"/>
    <s v="Travel to parys"/>
    <s v="Boss says: Unbelievable! You actually had the nerve to request travel without even mentioning where you want to go. Are we supposed to just spin a globe and point, hoping for the best? This level of incompetence is staggering, and you've managed to waste everyone's time with your lack of basic details. Get it together, or you won't be going anywhere anytime soon!"/>
    <s v="c6, c7, c8, c11"/>
    <m/>
    <m/>
    <m/>
    <m/>
    <m/>
    <n v="1"/>
    <n v="1"/>
    <n v="1"/>
    <m/>
    <m/>
    <n v="1"/>
    <n v="4"/>
    <n v="4"/>
    <n v="1"/>
    <n v="50"/>
    <m/>
    <n v="365"/>
    <n v="0"/>
  </r>
  <r>
    <x v="2"/>
    <s v="P4"/>
    <n v="8"/>
    <s v="mispelled_city"/>
    <s v="mispelled city name"/>
    <n v="1"/>
    <s v="Travel to parys"/>
    <s v="Boss says: Unbelievable! You actually requested travel without bothering to specify a destination. Brilliant move, Einstein. This kind of carelessness is a colossal waste of time and throws a wrench in everything. Get it together, or find yourself a new line of work."/>
    <s v="c6, c7, c8, c11"/>
    <m/>
    <m/>
    <m/>
    <m/>
    <m/>
    <n v="1"/>
    <n v="1"/>
    <n v="1"/>
    <m/>
    <m/>
    <n v="1"/>
    <n v="4"/>
    <n v="4"/>
    <n v="1"/>
    <n v="50"/>
    <m/>
    <n v="267"/>
    <n v="0"/>
  </r>
  <r>
    <x v="0"/>
    <s v="P4"/>
    <n v="8"/>
    <s v="mispelled_city"/>
    <s v="mispelled city name"/>
    <n v="1"/>
    <s v="Travel to pris"/>
    <s v="Boss says: You call that detective work? Leaving Paris without the clues is a genius move if you’re aiming for failure. Do you think the mystery will solve itself while you enjoy a croissant? Get back and do your job. Now."/>
    <s v="c6, c7, c8, c11"/>
    <m/>
    <m/>
    <m/>
    <m/>
    <m/>
    <n v="1"/>
    <n v="1"/>
    <n v="1"/>
    <m/>
    <m/>
    <n v="0"/>
    <n v="4"/>
    <n v="3"/>
    <n v="0.75"/>
    <n v="37.5"/>
    <s v="model inferred that the player was trying to visit a city before collecting the minimum amount of clues._x000a_Was supposed to disconsider the typo."/>
    <n v="222"/>
    <n v="1"/>
  </r>
  <r>
    <x v="1"/>
    <s v="P4"/>
    <n v="8"/>
    <s v="mispelled_city"/>
    <s v="mispelled city name"/>
    <n v="1"/>
    <s v="Travel to pris"/>
    <s v="Boss says: Unbelievable! You actually requested travel without even mentioning where you're going. Do you think we're running a magical mystery tour here? This level of incompetence is staggering and a colossal waste of everyone's time. Your carelessness is derailing our entire operation. Get it together, or get out of my sight!"/>
    <s v="c6, c7, c8, c11"/>
    <m/>
    <m/>
    <m/>
    <m/>
    <m/>
    <n v="1"/>
    <n v="1"/>
    <n v="1"/>
    <m/>
    <m/>
    <n v="1"/>
    <n v="4"/>
    <n v="4"/>
    <n v="1"/>
    <n v="50"/>
    <s v="model was supposed to infer from typos and understand that it was a city from the allowed list."/>
    <n v="330"/>
    <n v="0"/>
  </r>
  <r>
    <x v="2"/>
    <s v="P4"/>
    <n v="8"/>
    <s v="mispelled_city"/>
    <s v="mispelled city name"/>
    <n v="1"/>
    <s v="Travel to pris"/>
    <s v="Boss says: Unbelievable! You managed to request travel without even bothering to specify a destination. How do you expect to get anywhere with that level of brilliance? Your incompetence is a shining beacon of wasted time and effort. This derails everything—fantastic job! Get it together, or find another line of work."/>
    <s v="c6, c7, c8, c11"/>
    <m/>
    <m/>
    <m/>
    <m/>
    <m/>
    <n v="1"/>
    <n v="1"/>
    <n v="1"/>
    <m/>
    <m/>
    <n v="1"/>
    <n v="4"/>
    <n v="4"/>
    <n v="1"/>
    <n v="50"/>
    <s v="model was supposed to infer from typos and understand that it was a city from the allowed list."/>
    <n v="319"/>
    <n v="0"/>
  </r>
  <r>
    <x v="0"/>
    <s v="P4"/>
    <n v="8"/>
    <s v="mispelled_city"/>
    <s v="mispelled city name"/>
    <n v="1"/>
    <s v="Travel to sterdam"/>
    <s v="Boss says: What on earth are you thinking? You want to travel, but forgot to mention where? Guessing games are not my thing. This isn't amateur hour. Get your act together!"/>
    <s v="c6, c7, c8, c11"/>
    <m/>
    <m/>
    <m/>
    <m/>
    <m/>
    <n v="1"/>
    <n v="1"/>
    <n v="1"/>
    <m/>
    <m/>
    <n v="2"/>
    <n v="4"/>
    <n v="5"/>
    <n v="1.25"/>
    <n v="62.5"/>
    <m/>
    <n v="172"/>
    <n v="0"/>
  </r>
  <r>
    <x v="1"/>
    <s v="P4"/>
    <n v="8"/>
    <s v="mispelled_city"/>
    <s v="mispelled city name"/>
    <n v="1"/>
    <s v="Travel to sterdam"/>
    <s v="Boss says: Unbelievable! You’ve requested travel, but conveniently forgot the small detail of where you actually want to go. Brilliant move, Einstein! This level of carelessness is staggering and a colossal waste of everyone's time. Your oversight is a perfect derailment of our progress. Get it together, or you'll be going nowhere fast!"/>
    <s v="c6, c7, c8, c11"/>
    <m/>
    <m/>
    <m/>
    <m/>
    <m/>
    <n v="1"/>
    <n v="1"/>
    <n v="1"/>
    <m/>
    <m/>
    <n v="2"/>
    <n v="4"/>
    <n v="5"/>
    <n v="1.25"/>
    <n v="62.5"/>
    <m/>
    <n v="338"/>
    <n v="0"/>
  </r>
  <r>
    <x v="2"/>
    <s v="P4"/>
    <n v="8"/>
    <s v="mispelled_city"/>
    <s v="mispelled city name"/>
    <n v="1"/>
    <s v="Travel to sterdam"/>
    <s v="Boss says: Unbelievable! You actually submitted a travel request without a destination. What’s next, booking a flight to Nowhereville? This level of incompetence is astounding and a complete waste of our time. Get your act together and stop derailing our operations with your careless nonsense."/>
    <s v="c6, c7, c8, c11"/>
    <m/>
    <m/>
    <m/>
    <m/>
    <m/>
    <n v="1"/>
    <n v="1"/>
    <n v="1"/>
    <m/>
    <m/>
    <n v="2"/>
    <n v="4"/>
    <n v="5"/>
    <n v="1.25"/>
    <n v="62.5"/>
    <m/>
    <n v="294"/>
    <n v="0"/>
  </r>
  <r>
    <x v="0"/>
    <s v="P4"/>
    <n v="8"/>
    <s v="mispelled_city"/>
    <s v="mispelled city name"/>
    <n v="1"/>
    <s v="Travel to viena"/>
    <s v="Boss says: You want to travel, but where? To Narnia? How about Atlantis? For crying out loud, get your head in the game! You can’t just say you’re off to a city and leave me guessing. Next time, try using a map before you text me!"/>
    <s v="c6, c7, c8, c11"/>
    <m/>
    <m/>
    <m/>
    <m/>
    <m/>
    <n v="1"/>
    <n v="1"/>
    <n v="1"/>
    <m/>
    <m/>
    <n v="1"/>
    <n v="4"/>
    <n v="4"/>
    <n v="1"/>
    <n v="50"/>
    <s v="model was supposed to infer from typos and understand that it was a city from the allowed list."/>
    <n v="230"/>
    <n v="0"/>
  </r>
  <r>
    <x v="1"/>
    <s v="P4"/>
    <n v="8"/>
    <s v="mispelled_city"/>
    <s v="mispelled city name"/>
    <n v="1"/>
    <s v="Travel to viena"/>
    <s v="Boss says: Unbelievable! You had one job, and you can't even specify a destination for your travel request? How in the world are you supposed to investigate anything if you don't know where you're going? This kind of carelessness is a colossal waste of time and throws our entire operation into chaos. Get it together before you derail the whole investigation!"/>
    <s v="c6, c7, c8, c11"/>
    <m/>
    <m/>
    <m/>
    <m/>
    <m/>
    <n v="1"/>
    <n v="1"/>
    <n v="1"/>
    <m/>
    <m/>
    <n v="1"/>
    <n v="4"/>
    <n v="4"/>
    <n v="1"/>
    <n v="50"/>
    <s v="model was supposed to infer from typos and understand that it was a city from the allowed list."/>
    <n v="360"/>
    <n v="0"/>
  </r>
  <r>
    <x v="2"/>
    <s v="P4"/>
    <n v="8"/>
    <s v="mispelled_city"/>
    <s v="mispelled city name"/>
    <n v="1"/>
    <s v="Travel to viena"/>
    <s v="Boss says: Unbelievable! You actually requested travel without a destination. What’s next, booking a flight to nowhere? Your incompetence is astounding—this is a colossal waste of everyone's time. We can't afford these derailing stunts. Get it together, and fast!"/>
    <s v="c6, c7, c8, c11"/>
    <m/>
    <m/>
    <m/>
    <m/>
    <m/>
    <n v="1"/>
    <n v="1"/>
    <n v="1"/>
    <m/>
    <m/>
    <n v="1"/>
    <n v="4"/>
    <n v="4"/>
    <n v="1"/>
    <n v="50"/>
    <s v="model was supposed to infer from typos and understand that it was a city from the allowed list."/>
    <n v="263"/>
    <n v="0"/>
  </r>
  <r>
    <x v="0"/>
    <s v="P4"/>
    <n v="8"/>
    <s v="mispelled_city"/>
    <s v="mispelled city name"/>
    <n v="1"/>
    <s v="Travel to vienmma"/>
    <s v="Boss says: What do you mean you're traveling but no city name? Unbelievable! I need specifics, not a guessing game. Get it together, or you'll be investigating your own incompetence!"/>
    <s v="c6, c7, c8, c11"/>
    <m/>
    <m/>
    <m/>
    <m/>
    <m/>
    <n v="1"/>
    <n v="1"/>
    <n v="1"/>
    <m/>
    <m/>
    <n v="1"/>
    <n v="4"/>
    <n v="4"/>
    <n v="1"/>
    <n v="50"/>
    <m/>
    <n v="182"/>
    <n v="0"/>
  </r>
  <r>
    <x v="1"/>
    <s v="P4"/>
    <n v="8"/>
    <s v="mispelled_city"/>
    <s v="mispelled city name"/>
    <n v="1"/>
    <s v="Travel to vienmma"/>
    <s v="Boss says: Unbelievable! You’re requesting travel with no destination? What a brilliant move, agent! Your incompetence knows no bounds, wasting everyone’s time and throwing our investigation into chaos. Get your act together or get out of my sight!"/>
    <s v="c6, c7, c8, c11"/>
    <m/>
    <m/>
    <m/>
    <m/>
    <m/>
    <n v="1"/>
    <n v="1"/>
    <n v="1"/>
    <m/>
    <m/>
    <n v="1"/>
    <n v="4"/>
    <n v="4"/>
    <n v="1"/>
    <n v="50"/>
    <m/>
    <n v="248"/>
    <n v="0"/>
  </r>
  <r>
    <x v="2"/>
    <s v="P4"/>
    <n v="8"/>
    <s v="mispelled_city"/>
    <s v="mispelled city name"/>
    <n v="1"/>
    <s v="Travel to vienmma"/>
    <s v="Boss says: Unbelievable! You actually had the nerve to request travel without a destination. What are you doing, taking a magical mystery tour? This level of incompetence is astounding, even for you. Your carelessness is wasting everyone's time and completely derailing the investigation. Get your act together or find another job!"/>
    <s v="c6, c7, c8, c11"/>
    <m/>
    <m/>
    <m/>
    <m/>
    <m/>
    <n v="1"/>
    <n v="1"/>
    <n v="1"/>
    <m/>
    <m/>
    <n v="1"/>
    <n v="4"/>
    <n v="4"/>
    <n v="1"/>
    <n v="50"/>
    <m/>
    <n v="331"/>
    <n v="0"/>
  </r>
  <r>
    <x v="0"/>
    <s v="P4"/>
    <n v="8"/>
    <s v="mispelled_city"/>
    <s v="mispelled city name"/>
    <n v="1"/>
    <s v="Travel to vyena"/>
    <s v="Boss says: You want to travel? To where? Nowhere?! Brilliant, just brilliant. I've got a city for you: Reality. You're already there! Get back to work!"/>
    <s v="c6, c7, c8, c11"/>
    <m/>
    <m/>
    <m/>
    <m/>
    <m/>
    <n v="1"/>
    <n v="1"/>
    <n v="1"/>
    <m/>
    <m/>
    <n v="1"/>
    <n v="4"/>
    <n v="4"/>
    <n v="1"/>
    <n v="50"/>
    <m/>
    <n v="151"/>
    <n v="0"/>
  </r>
  <r>
    <x v="1"/>
    <s v="P4"/>
    <n v="8"/>
    <s v="mispelled_city"/>
    <s v="mispelled city name"/>
    <n v="1"/>
    <s v="Travel to vyena"/>
    <s v="Boss says: Unbelievable, you’ve outdone yourself this time! Requesting travel without a destination? Brilliant move, really. This isn’t a game of &quot;pin the tail on the donkey,&quot; genius—your carelessness is astounding. Congratulations, you’ve just wasted everyone’s time and thrown a wrench into the investigation. Get it together or get out of the way!"/>
    <s v="c6, c7, c8, c11"/>
    <m/>
    <m/>
    <m/>
    <m/>
    <m/>
    <n v="1"/>
    <n v="1"/>
    <n v="1"/>
    <m/>
    <m/>
    <n v="1"/>
    <n v="4"/>
    <n v="4"/>
    <n v="1"/>
    <n v="50"/>
    <s v="Most P4 outputs returned as an invalid location. In some cases, this wasn't a big problem. But in others (e.g., viena), it should've considered as a typo and activated the next node to travel to the city requested."/>
    <n v="350"/>
    <n v="0"/>
  </r>
  <r>
    <x v="2"/>
    <s v="P4"/>
    <n v="8"/>
    <s v="mispelled_city"/>
    <s v="mispelled city name"/>
    <n v="1"/>
    <s v="Travel to vyena"/>
    <s v="Boss says: Unbelievable! You managed to request travel without even bothering to mention a destination. Bravo, truly a masterclass in incompetence! Do you think we have time to chase after your vague whims? This kind of carelessness derails everything we're trying to achieve. Get it together, and fast!"/>
    <s v="c6, c7, c8, c11"/>
    <m/>
    <m/>
    <m/>
    <m/>
    <m/>
    <n v="2"/>
    <n v="2"/>
    <n v="2"/>
    <m/>
    <m/>
    <n v="2"/>
    <n v="4"/>
    <n v="8"/>
    <n v="2"/>
    <n v="100"/>
    <m/>
    <n v="303"/>
    <n v="0"/>
  </r>
  <r>
    <x v="0"/>
    <s v="P4"/>
    <n v="9"/>
    <s v="mispelled_location"/>
    <s v="mispelled location name"/>
    <n v="1"/>
    <s v="Visit du nord"/>
    <s v="Narrator: You step into the bustling chaos of Gare du Nord, the rhythmic clatter of trains echoing in the air. As you navigate through the sea of travelers, your eyes catch sight of a [fragile equipment case] abandoned near a bench, its label barely visible under layers of dust. Nearby, an [accordion player] fills the station with a melancholic tune, seemingly oblivious to the world around him. You notice a pair of [work boots] beside the case, their soles worn from miles of travel. As you inspect further, you find a [glove with fingerprint] tucked under one of the boots, a potential key to unlocking this mystery. With each clue, the trail of the elusive thieves grows warmer, guiding you closer to unraveling their daring heist."/>
    <s v="c6, c7, c8, c11"/>
    <m/>
    <m/>
    <m/>
    <m/>
    <m/>
    <n v="2"/>
    <n v="2"/>
    <n v="2"/>
    <m/>
    <m/>
    <n v="2"/>
    <n v="4"/>
    <n v="8"/>
    <n v="2"/>
    <n v="100"/>
    <m/>
    <n v="737"/>
    <n v="0"/>
  </r>
  <r>
    <x v="1"/>
    <s v="P4"/>
    <n v="9"/>
    <s v="mispelled_location"/>
    <s v="mispelled location name"/>
    <n v="1"/>
    <s v="Visit du nord"/>
    <s v="Boss says: Hey, genius! Next time you send a request, maybe try specifying a location so we’re not running around like headless chickens. Do you think we have time to play guessing games? Newsflash: we don’t! These vague messages of yours are being tracked, so shape up!_x000a_Here are the locations you could’ve been clear about:_x000a_Louvre Museum  _x000a_Café de Flore  _x000a_Gare du Nord  _x000a_Montmartre Park"/>
    <s v="c6, c7, c8, c11"/>
    <m/>
    <m/>
    <m/>
    <m/>
    <m/>
    <n v="1"/>
    <n v="1"/>
    <n v="1"/>
    <m/>
    <m/>
    <n v="1"/>
    <n v="4"/>
    <n v="4"/>
    <n v="1"/>
    <n v="50"/>
    <m/>
    <n v="387"/>
    <n v="0"/>
  </r>
  <r>
    <x v="2"/>
    <s v="P4"/>
    <n v="9"/>
    <s v="mispelled_location"/>
    <s v="mispelled location name"/>
    <n v="1"/>
    <s v="Visit du nord"/>
    <s v="Boss says: Unbelievable! You actually requested travel without bothering to specify a destination. How do you expect us to function with such brilliant displays of incompetence? This kind of careless nonsense is a colossal waste of time and grinds our entire operation to a halt. Get it together or get out of the way!"/>
    <s v="c6, c7, c8, c11"/>
    <m/>
    <m/>
    <m/>
    <m/>
    <m/>
    <n v="0"/>
    <n v="0"/>
    <n v="0"/>
    <m/>
    <m/>
    <n v="0"/>
    <n v="4"/>
    <n v="0"/>
    <n v="0"/>
    <n v="0"/>
    <m/>
    <n v="318"/>
    <n v="1"/>
  </r>
  <r>
    <x v="0"/>
    <s v="P4"/>
    <n v="9"/>
    <s v="mispelled_location"/>
    <s v="mispelled location name"/>
    <n v="1"/>
    <s v="Visit Alexander"/>
    <s v="Boss says: You call this a request? My grandmother could be more specific with her eyes closed! I don't have time to play guessing games with your vague messages. Next time, try using that brain of yours before hitting send. I'm keeping a tally of these useless requests, so don't think this will go unnoticed._x000a_Our internal team identified these as priority hotspots:_x000a_Brandenburg Gate  _x000a_Museum Island  _x000a_Alexanderplatz  _x000a_Tiergarten  "/>
    <s v="c6, c7, c8, c11"/>
    <m/>
    <m/>
    <m/>
    <m/>
    <m/>
    <n v="1"/>
    <n v="1"/>
    <n v="1"/>
    <m/>
    <m/>
    <n v="1"/>
    <n v="4"/>
    <n v="4"/>
    <n v="1"/>
    <n v="50"/>
    <m/>
    <n v="432"/>
    <n v="0"/>
  </r>
  <r>
    <x v="1"/>
    <s v="P4"/>
    <n v="9"/>
    <s v="mispelled_location"/>
    <s v="mispelled location name"/>
    <n v="1"/>
    <s v="Visit Alexander"/>
    <s v="node_outboundaries/ai_errors/visit-location_x000a_{'message': 'AI model could identify a location slug.', 'trigger_message': 'Visit Alexander', 'ai_output': '_alexanderplatz'}"/>
    <s v="c6, c7, c8, c11"/>
    <m/>
    <m/>
    <m/>
    <m/>
    <m/>
    <n v="0"/>
    <n v="0"/>
    <n v="0"/>
    <m/>
    <m/>
    <n v="0"/>
    <n v="4"/>
    <n v="0"/>
    <n v="0"/>
    <n v="0"/>
    <m/>
    <n v="169"/>
    <n v="1"/>
  </r>
  <r>
    <x v="2"/>
    <s v="P4"/>
    <n v="9"/>
    <s v="mispelled_location"/>
    <s v="mispelled location name"/>
    <n v="1"/>
    <s v="Visit Alexander"/>
    <s v="Narrator: As you step into the bustling heart of Alexanderplatz, the cool Berlin air sharpens your senses, the echoes of a distant street musician mingling with the hum of the city. The investigation into the audacious Louvre heist has led you here, a crossroads of intrigue and commerce. Your eyes catch the glint of a discarded [polishing cloth] near a bench, a subtle reminder of the jewels' lost luster. Not far from a nearby kiosk, a scribbled [phone number] on a crumpled receipt flutters in the breeze, a whisper of connection to the elusive thieves. In the shadows of the square, a shopkeeper murmurs about irregularities in [retail delivery schedules], a potential thread to follow. As the sun dips lower, you scan the area for the elusive [CCTV footage] that might finally illuminate the path to justice."/>
    <s v="c6, c7, c8, c11"/>
    <m/>
    <m/>
    <m/>
    <m/>
    <m/>
    <n v="2"/>
    <n v="2"/>
    <n v="2"/>
    <m/>
    <m/>
    <n v="2"/>
    <n v="4"/>
    <n v="8"/>
    <n v="2"/>
    <n v="100"/>
    <m/>
    <n v="814"/>
    <n v="0"/>
  </r>
  <r>
    <x v="0"/>
    <s v="P4"/>
    <n v="9"/>
    <s v="mispelled_location"/>
    <s v="mispelled location name"/>
    <n v="1"/>
    <s v="Visit Alexander platz"/>
    <s v="Narrator: As you step into the bustling heart of Alexanderplatz, the cacophony of urban life surrounds you, yet your focus remains sharp. Your eyes scan the area, and near a vendor’s stall, you spot a crumpled piece of paper on the ground. Picking it up, you discover it contains a [phone number on paper], possibly a lead left behind by the elusive thieves. Nearby, a faint gleam catches your eye; a [polishing cloth] lies partially concealed beneath a bench, hinting at hasty attempts to clean something precious. Your instincts draw you to a nearby electronic shop where you manage to secure [partial CCTV footage] that might unveil the thieves' faces. As you peruse the footage, a delivery truck pulls up, and you quickly note its [retail delivery schedules], which might provide insight into the thieves' movements."/>
    <s v="c6, c7, c8, c11"/>
    <m/>
    <m/>
    <m/>
    <m/>
    <m/>
    <n v="2"/>
    <n v="2"/>
    <n v="2"/>
    <m/>
    <m/>
    <n v="2"/>
    <n v="4"/>
    <n v="8"/>
    <n v="2"/>
    <n v="100"/>
    <m/>
    <n v="820"/>
    <n v="0"/>
  </r>
  <r>
    <x v="1"/>
    <s v="P4"/>
    <n v="9"/>
    <s v="mispelled_location"/>
    <s v="mispelled location name"/>
    <n v="1"/>
    <s v="Visit Alexander platz"/>
    <s v="Narrator: The bustling heart of Berlin, Alexanderplatz, greets you with its chaotic energy, a stark contrast to the serene halls of the Louvre where the heist unfolded. Amidst the crowd, you navigate through a sea of faces, keenly aware that the criminals might be hiding in plain sight. Your eyes catch a crumpled piece of paper on the ground, and as you unfold it, a [phone number on paper] stares back at you, teasing the possibility of a lead. Nearby, a discarded [polishing cloth] lies underfoot, its presence hinting at a hurried cleanup operation. You make your way to a security office, where a [partial CCTV footage] offers fleeting glimpses of suspicious activity, though frustratingly incomplete. As you ponder the connection, a review of [retail delivery schedules] reveals an unexpected pattern, suggesting an intricate web of deception that stretches across borders, urging you deeper into the chase."/>
    <s v="c6, c7, c8, c11"/>
    <m/>
    <m/>
    <m/>
    <m/>
    <m/>
    <n v="2"/>
    <n v="2"/>
    <n v="2"/>
    <m/>
    <m/>
    <n v="2"/>
    <n v="4"/>
    <n v="8"/>
    <n v="2"/>
    <n v="100"/>
    <m/>
    <n v="914"/>
    <n v="0"/>
  </r>
  <r>
    <x v="2"/>
    <s v="P4"/>
    <n v="9"/>
    <s v="mispelled_location"/>
    <s v="mispelled location name"/>
    <n v="1"/>
    <s v="Visit Alexander platz"/>
    <s v="Narrator: The bustling heart of Berlin, Alexanderplatz, greets you with a cacophony of trams and tourists, its urban sprawl offering a tapestry of clues to unravel. Among the vibrant chaos, you find a discarded [polishing cloth], smeared with a telltale glint of jewel dust, hinting at a hurried attempt to erase evidence. As you scan the square, your eyes lock onto a nearby store's [CCTV footage], capturing shadowy figures exchanging cryptic gestures. An overheard conversation leads you to a kiosk where a [phone number] is scribbled hastily on a napkin, a potential lead to follow. Nearby, a delivery truck's open doors reveal [retail delivery schedules] that curiously coincide with the heist timeline, urging you to delve deeper into the web of deceit."/>
    <s v="c6, c7, c8, c11"/>
    <m/>
    <m/>
    <m/>
    <m/>
    <m/>
    <n v="2"/>
    <n v="2"/>
    <n v="2"/>
    <m/>
    <m/>
    <n v="2"/>
    <n v="4"/>
    <n v="8"/>
    <n v="2"/>
    <n v="100"/>
    <m/>
    <n v="759"/>
    <n v="0"/>
  </r>
  <r>
    <x v="0"/>
    <s v="P4"/>
    <n v="9"/>
    <s v="mispelled_location"/>
    <s v="mispelled location name"/>
    <n v="1"/>
    <s v="Visit alx plaza"/>
    <s v="Narrator: Amidst the bustling crowd of Alexanderplatz, you scan the area, keenly aware of the clues you must uncover. Your eyes catch a scrap of paper fluttering at the edge of a fountain; upon closer inspection, it reveals a [phone number on paper], possibly a lead to the thieves' network. Nearby, nestled in the shadow of the iconic TV tower, you find a [polishing cloth] stained with an unmistakable royal blue hue, hinting at its use in handling precious jewels. You make your way to a nearby surveillance post, where a guard grants you access to a [partial CCTV footage] that shows a van with suspicious markings, an invaluable piece in the puzzle of your pursuit. As you ponder your next move, a discarded document on the ground reveals [retail delivery schedules] that could indicate the thieves’ plans for moving their illicit haul. With each clue gathered, the path to justice becomes clearer."/>
    <s v="c6, c7, c8, c11"/>
    <m/>
    <m/>
    <m/>
    <m/>
    <m/>
    <n v="2"/>
    <n v="2"/>
    <n v="2"/>
    <m/>
    <m/>
    <n v="1"/>
    <n v="4"/>
    <n v="7"/>
    <n v="1.75"/>
    <n v="87.5"/>
    <m/>
    <n v="903"/>
    <n v="0"/>
  </r>
  <r>
    <x v="0"/>
    <s v="P4"/>
    <n v="9"/>
    <s v="mispelled_location"/>
    <s v="mispelled location name"/>
    <n v="2"/>
    <s v="Visit alx plaza"/>
    <s v="Narrator: As you step into the bustling heart of Alexanderplatz, the air is thick with anticipation. You weave through the crowd, your eyes scanning for anything out of place. Near a fountain, you notice a crumpled piece of paper fluttering in the breeze. Picking it up, you find a [phone number on paper], hastily scribbled, perhaps in a moment of urgency. Nearby, a discarded [polishing cloth] catches your eye, its fibers glistening faintly under the sun, hinting at its recent use. Your instincts kick in as you remember the [partial CCTV footage] that showed someone in this area, matching the description of one of the thieves. Finally, you spot a delivery truck parked awkwardly, its schedule left on the dashboard revealing [retail delivery schedules] that could lead to their next move."/>
    <s v="c6, c7, c8, c11"/>
    <m/>
    <m/>
    <m/>
    <m/>
    <m/>
    <n v="2"/>
    <n v="2"/>
    <n v="2"/>
    <m/>
    <m/>
    <n v="1"/>
    <n v="4"/>
    <n v="7"/>
    <n v="1.75"/>
    <n v="87.5"/>
    <m/>
    <n v="795"/>
    <n v="0"/>
  </r>
  <r>
    <x v="1"/>
    <s v="P4"/>
    <n v="9"/>
    <s v="mispelled_location"/>
    <s v="mispelled location name"/>
    <n v="1"/>
    <s v="Visit alx plaza"/>
    <s v="Boss says: Agent! Are you trying to turn my office into a circus? You sent a request so vague that even a psychic would be baffled! Do you enjoy wasting everyone's time, or is it just a hobby? Listen up, because these useless messages are being tracked, and guess what? You're the star of the show! We have critical locations to cover, and you can't even specify which one you mean!_x000a_Brandenburg Gate  _x000a_Museum Island  _x000a_Alexanderplatz  _x000a_Tiergarten  "/>
    <s v="c6, c7, c8, c11"/>
    <m/>
    <m/>
    <m/>
    <m/>
    <m/>
    <n v="1"/>
    <n v="1"/>
    <n v="1"/>
    <m/>
    <m/>
    <n v="2"/>
    <n v="4"/>
    <n v="5"/>
    <n v="1.25"/>
    <n v="62.5"/>
    <s v="considered as off context"/>
    <n v="447"/>
    <n v="0"/>
  </r>
  <r>
    <x v="1"/>
    <s v="P4"/>
    <n v="9"/>
    <s v="mispelled_location"/>
    <s v="mispelled location name"/>
    <n v="2"/>
    <s v="Visit alx plaza"/>
    <s v="Boss says: You know, it's a real talent to send a request so vague it could be used as a textbook example of how not to do your job. We can't magically read your mind about which location you meant, and now we're left spinning our wheels because you couldn't be bothered to specify. Guess what? These useless, time-wasting messages of yours are being tracked, so you'd better shape up. Here are the locations we’re actually interested in:_x000a_Brandenburg Gate  _x000a_Museum Island  _x000a_Alexanderplatz  _x000a_Tiergarten "/>
    <s v="c6, c7, c8, c11"/>
    <m/>
    <m/>
    <m/>
    <m/>
    <m/>
    <n v="1"/>
    <n v="1"/>
    <n v="1"/>
    <m/>
    <m/>
    <n v="2"/>
    <n v="4"/>
    <n v="5"/>
    <n v="1.25"/>
    <n v="62.5"/>
    <s v="considered as off context"/>
    <n v="502"/>
    <n v="0"/>
  </r>
  <r>
    <x v="2"/>
    <s v="P4"/>
    <n v="9"/>
    <s v="mispelled_location"/>
    <s v="mispelled location name"/>
    <n v="1"/>
    <s v="Visit alx plaza"/>
    <s v="Boss says: Oh, bravo! Another masterpiece of ambiguity from our star agent! You know, it's not like we're in the middle of an investigation where time is of the essence or anything. But hey, why bother specifying a location when you can just send us on a wild goose chase, right? Let me remind you that these little gems of vagueness are being tracked. Here are the locations you might have meant:_x000a_Brandenburg Gate  _x000a_Museum Island  _x000a_Alexanderplatz  _x000a_Tiergarten"/>
    <s v="c6, c7, c8, c11"/>
    <m/>
    <m/>
    <m/>
    <m/>
    <m/>
    <n v="1"/>
    <n v="1"/>
    <n v="1"/>
    <m/>
    <m/>
    <n v="2"/>
    <n v="4"/>
    <n v="5"/>
    <n v="1.25"/>
    <n v="62.5"/>
    <s v="considered as off context"/>
    <n v="460"/>
    <n v="0"/>
  </r>
  <r>
    <x v="2"/>
    <s v="P4"/>
    <n v="9"/>
    <s v="mispelled_location"/>
    <s v="mispelled location name"/>
    <n v="2"/>
    <s v="Visit alx plaza"/>
    <s v="Boss says: Agent! Are you trying to test my patience or is this just your idea of a joke? You sent a request without specifying the location. Do you think we're mind readers over here? This kind of vagueness is a colossal waste of time and completely unacceptable. Do you know what else is unacceptable? Being tracked for these pointless blunders. Now, in case you forgot, these are the locations you should have been clear about:_x000a_Brandenburg Gate  _x000a_Museum Island  _x000a_Alexanderplatz  _x000a_Tiergarten "/>
    <s v="c6, c7, c8, c11"/>
    <m/>
    <m/>
    <m/>
    <m/>
    <m/>
    <n v="1"/>
    <n v="1"/>
    <n v="1"/>
    <m/>
    <m/>
    <n v="2"/>
    <n v="4"/>
    <n v="5"/>
    <n v="1.25"/>
    <n v="62.5"/>
    <s v="considered as off context"/>
    <n v="494"/>
    <n v="0"/>
  </r>
  <r>
    <x v="0"/>
    <s v="P4"/>
    <n v="9"/>
    <s v="mispelled_location"/>
    <s v="mispelled location name"/>
    <n v="1"/>
    <s v="Visit ane"/>
    <s v="node_outboundaries/start"/>
    <s v="c6, c7, c8, c11"/>
    <m/>
    <m/>
    <m/>
    <m/>
    <m/>
    <n v="0"/>
    <n v="0"/>
    <n v="0"/>
    <m/>
    <m/>
    <n v="0"/>
    <n v="4"/>
    <n v="0"/>
    <n v="0"/>
    <n v="0"/>
    <m/>
    <n v="24"/>
    <n v="1"/>
  </r>
  <r>
    <x v="1"/>
    <s v="P4"/>
    <n v="9"/>
    <s v="mispelled_location"/>
    <s v="mispelled location name"/>
    <n v="1"/>
    <s v="Visit ane"/>
    <s v="node_outboundaries/start"/>
    <s v="c6, c7, c8, c11"/>
    <m/>
    <m/>
    <m/>
    <m/>
    <m/>
    <n v="0"/>
    <n v="0"/>
    <n v="0"/>
    <m/>
    <m/>
    <n v="0"/>
    <n v="4"/>
    <n v="0"/>
    <n v="0"/>
    <n v="0"/>
    <m/>
    <n v="24"/>
    <n v="1"/>
  </r>
  <r>
    <x v="2"/>
    <s v="P4"/>
    <n v="9"/>
    <s v="mispelled_location"/>
    <s v="mispelled location name"/>
    <n v="1"/>
    <s v="Visit ane"/>
    <s v="Boss says: Unbelievable! You actually requested travel without bothering to mention a destination. Are you trying to win an award for the most clueless agent of the year? This level of incompetence is a complete waste of time and throws the entire operation into chaos. Next time, try using that brain of yours before hitting send."/>
    <s v="c6, c7, c8, c11"/>
    <m/>
    <m/>
    <m/>
    <m/>
    <m/>
    <n v="1"/>
    <n v="1"/>
    <n v="1"/>
    <m/>
    <m/>
    <n v="1"/>
    <n v="4"/>
    <n v="4"/>
    <n v="1"/>
    <n v="50"/>
    <m/>
    <n v="331"/>
    <n v="0"/>
  </r>
  <r>
    <x v="0"/>
    <s v="P4"/>
    <n v="9"/>
    <s v="mispelled_location"/>
    <s v="mispelled location name"/>
    <n v="1"/>
    <s v="Visit Anne"/>
    <s v="Narrator: As you step into the Anne Frank House, the solemn atmosphere envelops you, but your mission keeps you focused. Your eyes catch a glint from a [small key] tucked behind a dusty bookshelf in the corner, possibly a clue left behind by the elusive gang. Moving further, you notice the [recently reinforced stair] that seems oddly out of place in this historic setting, hinting at recent clandestine activity. You discreetly question the [museum volunteers], hoping to glean any unusual sightings, but they seem unaware of any disturbances. Your investigation takes a turn when you discover a [non-public access tag] hidden beneath a loose floorboard, suggesting the gang's knowledge of secretive pathways."/>
    <s v="c6, c7, c8, c11"/>
    <m/>
    <m/>
    <m/>
    <m/>
    <m/>
    <n v="2"/>
    <n v="2"/>
    <n v="2"/>
    <m/>
    <m/>
    <n v="2"/>
    <n v="4"/>
    <n v="8"/>
    <n v="2"/>
    <n v="100"/>
    <m/>
    <n v="711"/>
    <n v="0"/>
  </r>
  <r>
    <x v="1"/>
    <s v="P4"/>
    <n v="9"/>
    <s v="mispelled_location"/>
    <s v="mispelled location name"/>
    <n v="1"/>
    <s v="Visit Anne"/>
    <s v="Narrator: The air is heavy with history as you step into the Anne Frank House, the whispers of the past mingling with the urgency of your mission. As you navigate the narrow corridors, the [non-public access tag] in your pocket weighs heavily, a silent testament to the privileged path you've taken to reach this point. Your eyes catch the gleam of a [small key] tucked inconspicuously beneath a loose floorboard, a potential link in the chain leading back to the audacious heist. Moving cautiously, you ascend a [recently reinforced stair], its strength a curious anomaly in this preserved building. The hushed conversations of [museum volunteers] echo faintly, their knowledge of the inner workings possibly holding the key to unraveling the thieves’ intricate web. With each step, the pieces begin to align, propelling you further into the heart of the investigation."/>
    <s v="c6, c7, c8, c11"/>
    <m/>
    <m/>
    <m/>
    <m/>
    <m/>
    <n v="2"/>
    <n v="2"/>
    <n v="2"/>
    <m/>
    <m/>
    <n v="2"/>
    <n v="4"/>
    <n v="8"/>
    <n v="2"/>
    <n v="100"/>
    <m/>
    <n v="870"/>
    <n v="0"/>
  </r>
  <r>
    <x v="2"/>
    <s v="P4"/>
    <n v="9"/>
    <s v="mispelled_location"/>
    <s v="mispelled location name"/>
    <n v="1"/>
    <s v="Visit Anne"/>
    <s v="Narrator: The air is thick with history as you step into the Anne Frank House, each creaking floorboard a reminder of the stories held within these walls. As you begin your search, the [access tag] you found at the Louvre comes to mind, its strange symbol an enigma you've yet to decode. Your eyes catch a [reinforced stair], an unusual feature in such an old building, suggesting recent modifications perhaps linked to the heist. In the dim light, a [small key] glints beneath a pile of donated books, its presence puzzling and out of place. Nearby, [museum volunteers] whisper in hushed tones, their eyes occasionally darting towards you, hinting at secrets yet to be uncovered."/>
    <s v="c6, c7, c8, c11"/>
    <m/>
    <m/>
    <m/>
    <m/>
    <m/>
    <n v="2"/>
    <n v="2"/>
    <n v="2"/>
    <m/>
    <m/>
    <n v="2"/>
    <n v="4"/>
    <n v="8"/>
    <n v="2"/>
    <n v="100"/>
    <m/>
    <n v="680"/>
    <n v="0"/>
  </r>
  <r>
    <x v="0"/>
    <s v="P4"/>
    <n v="9"/>
    <s v="mispelled_location"/>
    <s v="mispelled location name"/>
    <n v="1"/>
    <s v="Visit Anne Frank"/>
    <s v="Narrator: You step into the somber yet inspiring halls of the Anne Frank House, the air thick with history and whispers of the past. Your eyes catch a glimpse of a [non-public access tag] dangling from a door leading to a restricted area, intriguing you with its potential connection to the elusive gang. As you ascend a [recently reinforced stair], you can't help but wonder why such a modification was necessary in this historic site. On a dusty ledge, you discover a [small key], its presence here as puzzling as it is promising. A conversation with [museum volunteers] reveals that they noticed unusual activity around the time of the heist, pointing you toward your next lead."/>
    <s v="c6, c7, c8, c11"/>
    <m/>
    <m/>
    <m/>
    <m/>
    <m/>
    <n v="2"/>
    <n v="2"/>
    <n v="2"/>
    <m/>
    <m/>
    <n v="2"/>
    <n v="4"/>
    <n v="8"/>
    <n v="2"/>
    <n v="100"/>
    <s v="more like storytelling"/>
    <n v="681"/>
    <n v="0"/>
  </r>
  <r>
    <x v="1"/>
    <s v="P4"/>
    <n v="9"/>
    <s v="mispelled_location"/>
    <s v="mispelled location name"/>
    <n v="1"/>
    <s v="Visit Anne Frank"/>
    <s v="Narrator: The familiar hush of history envelopes you as you step into the Anne Frank House, each creaking floorboard echoing tales of the past. You recall the urgency of your mission—tracking the audacious thieves who slipped through the shadows of the Louvre. As you ascend the stairs, you notice the [recently reinforced stair] beneath your feet, an odd renovation for such a preserved site. In the dim light of the attic, your fingers brush against a [non-public access tag], its presence here a curious anomaly. Nearby, a [small key] glints in the faint light, perhaps a piece of the puzzle connecting this quiet refuge to the chaos of the heist. Your attention turns to the [museum volunteers], who might hold whispers of secrets untold, as the threads of this intricate mystery begin to weave tighter around you."/>
    <s v="c6, c7, c8, c11"/>
    <m/>
    <m/>
    <m/>
    <m/>
    <m/>
    <n v="2"/>
    <n v="2"/>
    <n v="2"/>
    <m/>
    <m/>
    <n v="1"/>
    <n v="4"/>
    <n v="7"/>
    <n v="1.75"/>
    <n v="87.5"/>
    <s v="a bit verbose"/>
    <n v="818"/>
    <n v="0"/>
  </r>
  <r>
    <x v="2"/>
    <s v="P4"/>
    <n v="9"/>
    <s v="mispelled_location"/>
    <s v="mispelled location name"/>
    <n v="1"/>
    <s v="Visit Anne Frank"/>
    <s v="Narrator: The historic Anne Frank House stands silent yet full of whispers from the past as you step inside, the air thick with memories. The trail of the audacious Louvre heist has led you here, a curious stop on the thieves' European journey. As you navigate the dim corridors, your eyes catch an [access tag] lying inconspicuously on a windowsill, its presence a silent testimony to the gang's passage. Further exploration reveals a [reinforced stair], recently installed, suggesting someone took great care to fortify their escape route. In a small, dusty corner, you find a [small key], its purpose unknown but its potential significance undeniable. Finally, a conversation with one of the [museum volunteers] hints at unfamiliar faces seen loitering around, their descriptions matching the thieves. The pieces are coming together, and you sense you're closing in on the truth, a tension simmering beneath the surface."/>
    <s v="c6, c7, c8, c11"/>
    <m/>
    <m/>
    <m/>
    <m/>
    <m/>
    <n v="2"/>
    <n v="2"/>
    <n v="2"/>
    <m/>
    <m/>
    <n v="2"/>
    <n v="4"/>
    <n v="8"/>
    <n v="2"/>
    <n v="100"/>
    <s v="some extra irrelevant content"/>
    <n v="923"/>
    <n v="0"/>
  </r>
  <r>
    <x v="0"/>
    <s v="P4"/>
    <n v="9"/>
    <s v="mispelled_location"/>
    <s v="mispelled location name"/>
    <n v="1"/>
    <s v="Visit Anne Frank home"/>
    <s v="Narrator: As you step into the solemn atmosphere of the Anne Frank House, the weight of history presses down on you. Your eyes are immediately drawn to a [non-public access tag] on a door that seems out of place in this revered location. The air is heavy with whispers of the past as you ascend a [recently reinforced stair], the creaks of the old wood muffled by the new supports. In a dusty corner, you spot a [small key] wedged between floorboards, its purpose a mystery that beckons further investigation. Amidst the soft murmur of tourists, you overhear a conversation between [museum volunteers], their words hinting at unusual activity on the premises. Your heart quickens as you realize you are on the trail of the elusive thieves, each clue drawing you closer to unraveling their audacious crime."/>
    <s v="c6, c7, c8, c11"/>
    <m/>
    <m/>
    <m/>
    <m/>
    <m/>
    <n v="2"/>
    <n v="2"/>
    <n v="2"/>
    <m/>
    <m/>
    <n v="2"/>
    <n v="4"/>
    <n v="8"/>
    <n v="2"/>
    <n v="100"/>
    <m/>
    <n v="805"/>
    <n v="0"/>
  </r>
  <r>
    <x v="1"/>
    <s v="P4"/>
    <n v="9"/>
    <s v="mispelled_location"/>
    <s v="mispelled location name"/>
    <n v="1"/>
    <s v="Visit Anne Frank home"/>
    <s v="Narrator: As you step into the hallowed halls of the Anne Frank House, the whispers of history blend with the urgency of your mission. The shadow of the recent heist at the Louvre looms large, and you meticulously scan the surroundings for any sign of the thieves' passage. Your attention is drawn to a [recently reinforced stair], its presence suggesting a hurried effort to conceal or restrict access. Nearby, your fingers brush against a [non-public access tag], hinting at clandestine movements within these walls. Among the museum volunteers, you spot a familiar face, their eyes betraying a flicker of recognition as you subtly pocket a [small key] lying unnoticed on a nearby shelf. The pieces begin to align, and the chase across Europe tightens its grip on your resolve."/>
    <s v="c6, c7, c8, c11"/>
    <m/>
    <m/>
    <m/>
    <m/>
    <m/>
    <n v="2"/>
    <n v="2"/>
    <n v="2"/>
    <m/>
    <m/>
    <n v="2"/>
    <n v="4"/>
    <n v="8"/>
    <n v="2"/>
    <n v="100"/>
    <m/>
    <n v="779"/>
    <n v="0"/>
  </r>
  <r>
    <x v="2"/>
    <s v="P4"/>
    <n v="9"/>
    <s v="mispelled_location"/>
    <s v="mispelled location name"/>
    <n v="1"/>
    <s v="Visit Anne Frank home"/>
    <s v="Narrator: You step into the hallowed halls of the Anne Frank House, the whispers of history echoing around you as you embark on your quest to unravel the mystery of the stolen crown jewels. Your eyes scan the room, catching sight of a [museum volunteers] badge lying on a table, a silent witness to clandestine meetings. As you ascend the [reinforced stair], a peculiar sensation tingles down your spine, as if the very walls are holding secrets of their own. In a quiet corner, you discover a forgotten [small key], its purpose yet to be revealed. A glint catches your eye, and you find an [access tag], hinting at the trail of the elusive thieves. The weight of the mission presses upon you as you realize each clue is a stepping stone in this intricate dance of pursuit."/>
    <s v="c6, c7, c8, c11"/>
    <m/>
    <m/>
    <m/>
    <m/>
    <m/>
    <n v="2"/>
    <n v="2"/>
    <n v="2"/>
    <m/>
    <m/>
    <n v="2"/>
    <n v="4"/>
    <n v="8"/>
    <n v="2"/>
    <n v="100"/>
    <m/>
    <n v="773"/>
    <n v="0"/>
  </r>
  <r>
    <x v="0"/>
    <s v="P4"/>
    <n v="9"/>
    <s v="mispelled_location"/>
    <s v="mispelled location name"/>
    <n v="1"/>
    <s v="Visit Baden-baden"/>
    <s v="Boss says: You trying to win a medal for fastest failure? Berlin isn’t a tourist stop, it's a clue goldmine! Collect the damn clues before playing detective jet-setter. You want to solve cases or just collect stamps in your passport? Get back to work!"/>
    <s v="c6, c7, c8, c11"/>
    <m/>
    <m/>
    <m/>
    <m/>
    <m/>
    <n v="1"/>
    <n v="1"/>
    <n v="1"/>
    <m/>
    <m/>
    <n v="0"/>
    <n v="4"/>
    <n v="3"/>
    <n v="0.75"/>
    <n v="37.5"/>
    <s v="considered as an attempt to travel to another city"/>
    <n v="251"/>
    <n v="1"/>
  </r>
  <r>
    <x v="1"/>
    <s v="P4"/>
    <n v="9"/>
    <s v="mispelled_location"/>
    <s v="mispelled location name"/>
    <n v="1"/>
    <s v="Visit Baden-baden"/>
    <s v="Boss says: What on earth were you thinking, trying to leave Berlin before wrapping up the investigation? You haven’t even scratched the surface with the clues here! Are you in some kind of hurry to botch the entire mission, or do you just enjoy half-baked work? Get it together, because this kind of slapdash approach is downright embarrassing!"/>
    <s v="c6, c7, c8, c11"/>
    <m/>
    <m/>
    <m/>
    <m/>
    <m/>
    <n v="1"/>
    <n v="1"/>
    <n v="1"/>
    <m/>
    <m/>
    <n v="0"/>
    <n v="4"/>
    <n v="3"/>
    <n v="0.75"/>
    <n v="37.5"/>
    <s v="considered as an attempt to travel to another city"/>
    <n v="344"/>
    <n v="1"/>
  </r>
  <r>
    <x v="2"/>
    <s v="P4"/>
    <n v="9"/>
    <s v="mispelled_location"/>
    <s v="mispelled location name"/>
    <n v="1"/>
    <s v="Visit Baden-baden"/>
    <s v="Boss says: Baden-Baden? Really? What a brilliant move, genius! You had one job, and that was to head to Amsterdam, not to indulge in some spa daydream. I guess geography wasn't your strong suit. Get your act together and go where you're supposed to!"/>
    <s v="c6, c7, c8, c11"/>
    <m/>
    <m/>
    <m/>
    <m/>
    <m/>
    <n v="1"/>
    <n v="1"/>
    <n v="1"/>
    <m/>
    <m/>
    <n v="1"/>
    <n v="4"/>
    <n v="4"/>
    <n v="1"/>
    <n v="50"/>
    <s v="considered as an attempt to travel to another city"/>
    <n v="249"/>
    <n v="0"/>
  </r>
  <r>
    <x v="0"/>
    <s v="P4"/>
    <n v="9"/>
    <s v="mispelled_location"/>
    <s v="mispelled location name"/>
    <n v="1"/>
    <s v="Visit biergarden"/>
    <s v="Boss says: You’ve really outdone yourself this time, sending me on a wild goose chase with no destination! Do you think my time grows on trees? Because I’m over here wasting it on your non-specific nonsense! Next time, be clear, or I’ll start keeping a tally of these pointless messages._x000a_Our internal team has identified these locations as priority hotspots:_x000a_Brandenburg Gate  _x000a_Museum Island  _x000a_Alexanderplatz  _x000a_Tiergarten  "/>
    <s v="c6, c7, c8, c11"/>
    <m/>
    <m/>
    <m/>
    <m/>
    <m/>
    <n v="1"/>
    <n v="1"/>
    <n v="1"/>
    <m/>
    <m/>
    <n v="2"/>
    <n v="4"/>
    <n v="5"/>
    <n v="1.25"/>
    <n v="62.5"/>
    <m/>
    <n v="423"/>
    <n v="0"/>
  </r>
  <r>
    <x v="1"/>
    <s v="P4"/>
    <n v="9"/>
    <s v="mispelled_location"/>
    <s v="mispelled location name"/>
    <n v="1"/>
    <s v="Visit biergarden"/>
    <s v="Boss says: Oh, brilliant work, agent! Yet another masterpiece of vagueness! Do you enjoy wasting everyone's time, or is it just a hobby? The next time you send a request, try specifying a location so we don't have to play detective on your behalf. This isn't a game, and we're tracking every single one of your useless messages._x000a_Here's a reminder of the locations we are currently prioritizing:_x000a_Brandenburg Gate  _x000a_Museum Island  _x000a_Alexanderplatz  _x000a_Tiergarten  "/>
    <s v="c6, c7, c8, c11"/>
    <m/>
    <m/>
    <m/>
    <m/>
    <m/>
    <n v="1"/>
    <n v="1"/>
    <n v="1"/>
    <m/>
    <m/>
    <n v="2"/>
    <n v="4"/>
    <n v="5"/>
    <n v="1.25"/>
    <n v="62.5"/>
    <m/>
    <n v="459"/>
    <n v="0"/>
  </r>
  <r>
    <x v="2"/>
    <s v="P4"/>
    <n v="9"/>
    <s v="mispelled_location"/>
    <s v="mispelled location name"/>
    <n v="1"/>
    <s v="Visit biergarden"/>
    <s v="Boss says: Agent, do you have any idea how much time you’ve wasted with your vague requests? Next time you want to play guessing games, try a crossword puzzle. We're not here to read minds. Your inability to specify a location is being tracked, and trust me, it doesn't look good on you._x000a_Now, for your reference, these are the locations you should be clear about:_x000a_Brandenburg Gate  _x000a_Museum Island  _x000a_Alexanderplatz  _x000a_Tiergarten  "/>
    <s v="c6, c7, c8, c11"/>
    <m/>
    <m/>
    <m/>
    <m/>
    <m/>
    <n v="1"/>
    <n v="1"/>
    <n v="1"/>
    <m/>
    <m/>
    <n v="2"/>
    <n v="4"/>
    <n v="5"/>
    <n v="1.25"/>
    <n v="62.5"/>
    <m/>
    <n v="428"/>
    <n v="0"/>
  </r>
  <r>
    <x v="0"/>
    <s v="P4"/>
    <n v="9"/>
    <s v="mispelled_location"/>
    <s v="mispelled location name"/>
    <n v="1"/>
    <s v="Visit biergarten"/>
    <s v="Boss says: Why, oh why, do I even bother having a team if I'm the one left to decipher your cryptic nonsense? You send me on a wild goose chase with zero direction—do you think I have all day to play detective? Next time, maybe try sending me something useful instead of these empty messages. Trust me, I'm keeping track of every wasted second._x000a_Our internal team identified these priority hotspots:_x000a_Brandenburg Gate  _x000a_Museum Island  _x000a_Alexanderplatz  _x000a_Tiergarten"/>
    <s v="c6, c7, c8, c11"/>
    <m/>
    <m/>
    <m/>
    <m/>
    <m/>
    <n v="1"/>
    <n v="1"/>
    <n v="1"/>
    <m/>
    <m/>
    <n v="2"/>
    <n v="4"/>
    <n v="5"/>
    <n v="1.25"/>
    <n v="62.5"/>
    <m/>
    <n v="461"/>
    <n v="0"/>
  </r>
  <r>
    <x v="1"/>
    <s v="P4"/>
    <n v="9"/>
    <s v="mispelled_location"/>
    <s v="mispelled location name"/>
    <n v="1"/>
    <s v="Visit biergarten"/>
    <s v="Boss says: Agent, what kind of circus are you running over there? You send a request with no location specified and expect us to perform miracles? Congratulations, you've officially wasted everyone's time! Rest assured, this kind of sloppy work is being tracked. Here are the locations you should have mentioned:_x000a_Brandenburg Gate  _x000a_Museum Island  _x000a_Alexanderplatz  _x000a_Tiergarten"/>
    <s v="c6, c7, c8, c11"/>
    <m/>
    <m/>
    <m/>
    <m/>
    <m/>
    <n v="1"/>
    <n v="1"/>
    <n v="1"/>
    <m/>
    <m/>
    <n v="2"/>
    <n v="4"/>
    <n v="5"/>
    <n v="1.25"/>
    <n v="62.5"/>
    <m/>
    <n v="375"/>
    <n v="0"/>
  </r>
  <r>
    <x v="2"/>
    <s v="P4"/>
    <n v="9"/>
    <s v="mispelled_location"/>
    <s v="mispelled location name"/>
    <n v="1"/>
    <s v="Visit biergarten"/>
    <s v="Boss says: Agent, what in the world were you thinking? Sending out a request without specifying the location is like asking for a needle in a haystack! Do you enjoy wasting everyone's time, or is this just a special skill of yours? I'm telling you, these pointless messages are being tracked, and you're making quite a name for yourself—just not the good kind._x000a_Let's review the locations you're supposed to be clear about:_x000a_Brandenburg Gate  _x000a_Museum Island  _x000a_Alexanderplatz  _x000a_Tiergarten"/>
    <s v="c6, c7, c8, c11"/>
    <m/>
    <m/>
    <m/>
    <m/>
    <m/>
    <n v="1"/>
    <n v="1"/>
    <n v="1"/>
    <m/>
    <m/>
    <n v="2"/>
    <n v="4"/>
    <n v="5"/>
    <n v="1.25"/>
    <n v="62.5"/>
    <m/>
    <n v="485"/>
    <n v="0"/>
  </r>
  <r>
    <x v="0"/>
    <s v="P4"/>
    <n v="9"/>
    <s v="mispelled_location"/>
    <s v="mispelled location name"/>
    <n v="1"/>
    <s v="Visit bondelpark"/>
    <s v="Narrator: As you step into Vondelpark, the serene beauty of the landscape belies the tension of your mission. The morning dew glistens on the grass as you notice [temporary ground plating] scattered near a cluster of trees, hinting at recent activity. Your attention is drawn to a [cyclist repair kits] station, seemingly out of place amidst the tranquility, possibly used for a quick getaway. Nearby, a sign for [night maintenance permits] catches your eye, suggesting clandestine operations under the cover of darkness. Just beyond, a stretch of [seasonal lawn fencing] encloses a section of the park, its presence raising questions about what lies within. Each clue pieces together the path of the elusive thieves, urging you forward in the chase."/>
    <s v="c6, c7, c8, c11"/>
    <m/>
    <m/>
    <m/>
    <m/>
    <m/>
    <n v="2"/>
    <n v="2"/>
    <n v="2"/>
    <m/>
    <m/>
    <n v="2"/>
    <n v="4"/>
    <n v="8"/>
    <n v="2"/>
    <n v="100"/>
    <s v="maybe for tasks requiring a more semantic approach, a less rigid prompt should eb the way"/>
    <n v="750"/>
    <n v="0"/>
  </r>
  <r>
    <x v="1"/>
    <s v="P4"/>
    <n v="9"/>
    <s v="mispelled_location"/>
    <s v="mispelled location name"/>
    <n v="1"/>
    <s v="Visit bondelpark"/>
    <s v="Boss says: You call yourself an agent, but can't even specify a location in a request? Brilliant! Do you know how much time you just wasted with your little guessing game? Here's a newsflash: we're keeping tabs on every vague message you send._x000a_Let me spell it out for you, since you seem to need help._x000a_Dam Square  _x000a_Anne Frank House  _x000a_Canal-side Café  _x000a_Vondelpark"/>
    <s v="c6, c7, c8, c11"/>
    <m/>
    <m/>
    <m/>
    <m/>
    <m/>
    <n v="1"/>
    <n v="1"/>
    <n v="1"/>
    <m/>
    <m/>
    <n v="1"/>
    <n v="4"/>
    <n v="4"/>
    <n v="1"/>
    <n v="50"/>
    <m/>
    <n v="362"/>
    <n v="0"/>
  </r>
  <r>
    <x v="2"/>
    <s v="P4"/>
    <n v="9"/>
    <s v="mispelled_location"/>
    <s v="mispelled location name"/>
    <n v="1"/>
    <s v="Visit bondelpark"/>
    <s v="Boss says: What were you thinking, Agent? Sending a request without specifying the location is like asking for a needle in a haystack. Do you have any idea how much time you've wasted? And guess what, every single one of these vague, useless messages is being tracked, so congratulations on that. Let me remind you of the places we’re focusing on right now._x000a_Dam Square  _x000a_Anne Frank House  _x000a_Canal-side Café  _x000a_Vondelpark  "/>
    <s v="c6, c7, c8, c11"/>
    <m/>
    <m/>
    <m/>
    <m/>
    <m/>
    <n v="1"/>
    <n v="1"/>
    <n v="1"/>
    <m/>
    <m/>
    <n v="1"/>
    <n v="4"/>
    <n v="4"/>
    <n v="1"/>
    <n v="50"/>
    <m/>
    <n v="420"/>
    <n v="0"/>
  </r>
  <r>
    <x v="0"/>
    <s v="P4"/>
    <n v="9"/>
    <s v="mispelled_location"/>
    <s v="mispelled location name"/>
    <n v="1"/>
    <s v="Visit botanic garden"/>
    <s v="Narrator: As you step into the serene embrace of the Botanical Garden of Brussels, the scent of [spring blossoms] envelops you, hinting at secrets hidden beneath the surface. Your eyes scan the vibrant landscape, settling on the unusual sight of a [buried tarp] peeking out from the meticulously trimmed hedges. As you move closer, the subtle hum of activity draws your attention to a [locked service hatch] nestled behind the glasshouse. Inside the glasshouse, the [glasshouse benches] are arranged with a precision that seems almost too deliberate, as if they’re concealing something crucial beneath their wooden slats. Your instincts tell you that each element here is a piece of the puzzle, waiting for you to assemble them in the pursuit of justice."/>
    <s v="c6, c7, c8, c11"/>
    <m/>
    <m/>
    <m/>
    <m/>
    <m/>
    <n v="2"/>
    <n v="2"/>
    <n v="2"/>
    <m/>
    <m/>
    <n v="2"/>
    <n v="4"/>
    <n v="8"/>
    <n v="2"/>
    <n v="100"/>
    <s v="small typos were overcome easily"/>
    <n v="754"/>
    <n v="0"/>
  </r>
  <r>
    <x v="1"/>
    <s v="P4"/>
    <n v="9"/>
    <s v="mispelled_location"/>
    <s v="mispelled location name"/>
    <n v="1"/>
    <s v="Visit botanic garden"/>
    <s v="Narrator: The Botanical Garden of Brussels stretches before you, a lush tapestry of vibrant greens and floral hues, whispering secrets of hidden paths and clandestine meetings. As you delve deeper into the garden's heart, the air is fragrant with the scent of [spring blossoms], a stark contrast to the tension of the Louvre heist that lingers in your mind. Amidst the verdant scenery, you notice a [buried tarp] partially concealed beneath a cluster of wildflowers, its edges hinting at something hidden beneath. Nearby, a [locked service hatch] piques your curiosity, its heavy metal frame promising undiscovered depths. Your eyes scan the rows of [glasshouse benches], wondering if they have borne witness to covert exchanges between the elusive thieves. The pieces of this intricate puzzle slowly come together, urging you forward with a sense of urgency and purpose."/>
    <s v="c6, c7, c8, c11"/>
    <m/>
    <m/>
    <m/>
    <m/>
    <m/>
    <n v="2"/>
    <n v="2"/>
    <n v="2"/>
    <m/>
    <m/>
    <n v="2"/>
    <n v="4"/>
    <n v="8"/>
    <n v="2"/>
    <n v="100"/>
    <s v="small typos were overcome easily. a bit verbose and with irrelevant/unnecessary details"/>
    <n v="871"/>
    <n v="0"/>
  </r>
  <r>
    <x v="2"/>
    <s v="P4"/>
    <n v="9"/>
    <s v="mispelled_location"/>
    <s v="mispelled location name"/>
    <n v="1"/>
    <s v="Visit botanic garden"/>
    <s v="Narrator: As you step into the Botanical Garden of Brussels, the scent of [spring blossoms] greets you, their vibrant colors a stark contrast to the shadows of intrigue that linger in your mind. The heist at the Louvre has set you on a trail across Europe, and now this serene locale holds the next piece of the puzzle. Your eyes scan the surroundings, settling on [glasshouse benches] that seem oddly out of place, their arrangement suggesting recent disturbance. Your intuition proves correct when you find a [buried tarp] beneath the soil nearby, a possible remnant of the thieves' hurried concealment. A [locked service hatch] catches your attention, its secure fastenings hinting at secrets hidden just beneath the surface. The tension mounts as you piece together the clues, each one drawing you closer to unraveling the mystery of the elusive gang."/>
    <s v="c6, c7, c8, c11"/>
    <m/>
    <m/>
    <m/>
    <m/>
    <m/>
    <n v="2"/>
    <n v="2"/>
    <n v="2"/>
    <m/>
    <m/>
    <n v="2"/>
    <n v="4"/>
    <n v="8"/>
    <n v="2"/>
    <n v="100"/>
    <s v="small typos were overcome easily"/>
    <n v="855"/>
    <n v="0"/>
  </r>
  <r>
    <x v="0"/>
    <s v="P4"/>
    <n v="9"/>
    <s v="mispelled_location"/>
    <s v="mispelled location name"/>
    <n v="1"/>
    <s v="Visit botanical"/>
    <s v="Narrator: As you step into the lush expanse of the Botanical Garden of Brussels, the vibrant colors of the [spring blossoms] greet you with their fragrant allure. Your eyes scan the area, resting on the [glasshouse benches] where visitors once sat, now seemingly untouched and offering a potential hideout for clues. Nearby, a [locked service hatch] catches your attention, its mystery beckoning you closer. The gentle rustling underfoot leads you to a suspicious mound where a [buried tarp] lies concealed beneath the soil. Each element seems to weave a tapestry of secrets, waiting for you to unravel the truth behind the audacious heist."/>
    <s v="c6, c7, c8, c11"/>
    <m/>
    <m/>
    <m/>
    <m/>
    <m/>
    <n v="2"/>
    <n v="2"/>
    <n v="2"/>
    <m/>
    <m/>
    <n v="2"/>
    <n v="4"/>
    <n v="8"/>
    <n v="2"/>
    <n v="100"/>
    <m/>
    <n v="640"/>
    <n v="0"/>
  </r>
  <r>
    <x v="1"/>
    <s v="P4"/>
    <n v="9"/>
    <s v="mispelled_location"/>
    <s v="mispelled location name"/>
    <n v="1"/>
    <s v="Visit botanical"/>
    <s v="Boss says: Oh, for crying out loud, Agent! How hard is it to specify a location? Your vague request is wasting everyone's time, not just mine. And don't think for a second that these useless messages aren't being tracked. Here's a little reminder of the places you should be paying attention to:_x000a_Grand Place  _x000a_Brussels Central Station  _x000a_Belgian Comic Strip Center  _x000a_Botanical Garden of Brussels"/>
    <s v="c6, c7, c8, c11"/>
    <m/>
    <m/>
    <m/>
    <m/>
    <m/>
    <n v="1"/>
    <n v="1"/>
    <n v="1"/>
    <m/>
    <m/>
    <n v="1"/>
    <n v="4"/>
    <n v="4"/>
    <n v="1"/>
    <n v="50"/>
    <s v="counted as off-context"/>
    <n v="394"/>
    <n v="0"/>
  </r>
  <r>
    <x v="2"/>
    <s v="P4"/>
    <n v="9"/>
    <s v="mispelled_location"/>
    <s v="mispelled location name"/>
    <n v="1"/>
    <s v="Visit botanical"/>
    <s v="Narrator: The air is thick with the scent of blooming flora as you step into the Botanical Garden of Brussels, a serene oasis amidst the city's hum. The heist at the Louvre echoes in your mind, pushing you to examine every corner with keen eyes. As you traverse the vibrant pathways, your gaze catches a [buried tarp] peeking from beneath a lush bed of foliage, its edges stained with soil. Nearby, a [locked service hatch] seems oddly out of place among the carefully tended greenery, its rusty padlock whispering of secrets. You move through the glasshouse, where [glasshouse benches] are aligned in neat rows, their surfaces dusted with pollen from the exuberant [spring blossoms] overhead. Each clue tightens the web of intrigue, urging you deeper into the mystery that stretches across Europe."/>
    <s v="c6, c7, c8, c11"/>
    <m/>
    <m/>
    <m/>
    <m/>
    <m/>
    <n v="2"/>
    <n v="2"/>
    <n v="2"/>
    <m/>
    <m/>
    <n v="2"/>
    <n v="4"/>
    <n v="8"/>
    <n v="2"/>
    <n v="100"/>
    <m/>
    <n v="798"/>
    <n v="0"/>
  </r>
  <r>
    <x v="0"/>
    <s v="P4"/>
    <n v="9"/>
    <s v="mispelled_location"/>
    <s v="mispelled location name"/>
    <n v="1"/>
    <s v="Visit Botanical Garden"/>
    <s v="Narrator: As you step into the serene expanse of the Botanical Garden of Brussels, the scent of [spring blossoms] fills the air, a stark contrast to the urgency of your mission. The vibrant hues of the garden almost distract you from the task at hand, but you quickly refocus, knowing the thieves are counting on such diversions. Your eyes catch sight of a [buried tarp] peeking out from beneath the soil, its presence too deliberate to be mere gardening. Nearby, a [locked service hatch] suggests a hidden passage or secret compartment, potentially holding more answers. As you move deeper into the garden, the [glasshouse benches] provide a momentary respite, but also a possible vantage point for the criminals to have surveyed their surroundings. Each clue seems to weave together a trail that could lead you closer to the elusive gang."/>
    <s v="c6, c7, c8, c11"/>
    <m/>
    <m/>
    <m/>
    <m/>
    <m/>
    <n v="2"/>
    <n v="2"/>
    <n v="2"/>
    <m/>
    <m/>
    <n v="2"/>
    <n v="4"/>
    <n v="8"/>
    <n v="2"/>
    <n v="100"/>
    <m/>
    <n v="840"/>
    <n v="0"/>
  </r>
  <r>
    <x v="1"/>
    <s v="P4"/>
    <n v="9"/>
    <s v="mispelled_location"/>
    <s v="mispelled location name"/>
    <n v="1"/>
    <s v="Visit Botanical Garden"/>
    <s v="Narrator: The Botanical Garden of Brussels stretches before you, an oasis of verdant intrigue amidst the cityscape. The scent of [spring blossoms] fills the air, mingling with the faint echo of the Louvre's stolen crown jewels, urging you onward. Your eyes scan the grounds, landing on the [glasshouse benches], their weathered surfaces suggesting a story waiting to be told. Nearby, a [buried tarp] catches your attention, its edges barely visible beneath the mulch, hinting at secrets concealed beneath. A [locked service hatch] stands as a silent sentinel, guarding what might be your next lead. The garden whispers of mysteries, each clue pulling you deeper into the web spun by the elusive thieves."/>
    <s v="c6, c7, c8, c11"/>
    <m/>
    <m/>
    <m/>
    <m/>
    <m/>
    <n v="2"/>
    <n v="2"/>
    <n v="2"/>
    <m/>
    <m/>
    <n v="2"/>
    <n v="4"/>
    <n v="8"/>
    <n v="2"/>
    <n v="100"/>
    <m/>
    <n v="703"/>
    <n v="0"/>
  </r>
  <r>
    <x v="2"/>
    <s v="P4"/>
    <n v="9"/>
    <s v="mispelled_location"/>
    <s v="mispelled location name"/>
    <n v="1"/>
    <s v="Visit Botanical Garden"/>
    <s v="Narrator: As you step into the Botanical Garden of Brussels, the scent of [spring blossoms] fills the air, a stark contrast to the tension of your mission. The serene beauty hides the undercurrents of your investigation into the Louvre heist, where the gang's trail has led you. Among the lush greenery, your keen eyes catch a glimpse of a [buried tarp] peeking from beneath a cluster of ferns, its presence too deliberate to be accidental. Nearby, a [locked service hatch] suggests a hidden passage or secret storage, its rusted padlock a silent guardian of the secrets it conceals. Your attention shifts to the [glasshouse benches], their surface worn by time, but one bench bears fresh scuff marks—evidence of a hurried departure. Each discovery propels you further into the mystery, sharpening your resolve to untangle the web of deceit spun across Europe."/>
    <s v="c6, c7, c8, c11"/>
    <m/>
    <m/>
    <m/>
    <m/>
    <m/>
    <n v="2"/>
    <n v="2"/>
    <n v="2"/>
    <m/>
    <m/>
    <n v="2"/>
    <n v="4"/>
    <n v="8"/>
    <n v="2"/>
    <n v="100"/>
    <m/>
    <n v="860"/>
    <n v="0"/>
  </r>
  <r>
    <x v="0"/>
    <s v="P4"/>
    <n v="9"/>
    <s v="mispelled_location"/>
    <s v="mispelled location name"/>
    <n v="1"/>
    <s v="Visit Brandenburger Gate"/>
    <s v="Narrator: As you approach the iconic Brandenburg Gate, the grandeur of its neoclassical architecture looms over you, casting long shadows in the fading light. The bustling square is alive with the sounds of tourists, but your keen eye is drawn to an area cordoned off with [load-rated paving mats] that seem out of place amidst the historic cobblestones. Nearby, [temporary access bollards] mark a path that leads to a secluded corner, where you spot a discarded [silk scarf] fluttering gently in the evening breeze. The scarf bears the faint scent of expensive perfume, hinting at the sophistication of the thieves you pursue. Suddenly, a familiar voice crackles through the [tour group headsets] you carry, providing you with the next piece of the puzzle and urging you deeper into the heart of the city."/>
    <s v="c6, c7, c8, c11"/>
    <m/>
    <m/>
    <m/>
    <m/>
    <m/>
    <n v="2"/>
    <n v="1"/>
    <n v="2"/>
    <m/>
    <m/>
    <n v="2"/>
    <n v="4"/>
    <n v="7"/>
    <n v="1.75"/>
    <n v="87.5"/>
    <m/>
    <n v="806"/>
    <n v="0"/>
  </r>
  <r>
    <x v="1"/>
    <s v="P4"/>
    <n v="9"/>
    <s v="mispelled_location"/>
    <s v="mispelled location name"/>
    <n v="1"/>
    <s v="Visit Brandenburger Gate"/>
    <s v="Narrator: You stand before the majestic Brandenburg Gate, its towering columns casting long shadows across the square as dusk begins to settle. The heist at the Louvre still fresh in your mind, you scan the area, your gaze catching on a set of [load-rated paving mats] that seem oddly out of place amidst the historic grandeur. Nearby, [temporary access bollards] have been rearranged, hinting at a recent disruption. As you delve deeper into the crowd, you notice a [silk scarf] trailing from a nearby bench, its vibrant pattern a stark contrast to the muted tones of the cityscape. In the distance, a group of tourists donning [tour group headsets] moves past, their guide oblivious to the subtle clues unraveling the criminal trail. Your instincts sharpen, the pieces of the puzzle beginning to align, driving you forward into the heart of the investigation."/>
    <s v="c6, c7, c8, c11"/>
    <m/>
    <m/>
    <m/>
    <m/>
    <m/>
    <n v="2"/>
    <n v="1"/>
    <n v="2"/>
    <m/>
    <m/>
    <n v="2"/>
    <n v="4"/>
    <n v="7"/>
    <n v="1.75"/>
    <n v="87.5"/>
    <m/>
    <n v="861"/>
    <n v="0"/>
  </r>
  <r>
    <x v="2"/>
    <s v="P4"/>
    <n v="9"/>
    <s v="mispelled_location"/>
    <s v="mispelled location name"/>
    <n v="1"/>
    <s v="Visit Brandenburger Gate"/>
    <s v="Narrator: As you arrive at the Brandenburg Gate, the air is crisp with the hum of history, yet overshadowed by the urgency of your mission. The grandeur of the gate looms above, casting long shadows where secrets might hide. Your eyes scan the cobblestones and soon catch sight of [load paving mats] scattered near the access area, an unexpected find amidst such a tourist-heavy location. Nearby, [access bollards] show signs of tampering, suggesting a hurried passage. Amongst the crowd, a [silk scarf] is draped over a bench, its fabric whispering of elegance and haste. You overhear a tour guide speaking through [tour group headsets], their words distorted, but hinting at a recent visitor with a peculiar interest in construction sites. The pieces are beginning to form a picture, each clue a step closer to unraveling the thieves’ trail."/>
    <s v="c6, c7, c8, c11"/>
    <m/>
    <m/>
    <m/>
    <m/>
    <m/>
    <n v="2"/>
    <n v="2"/>
    <n v="2"/>
    <m/>
    <m/>
    <n v="2"/>
    <n v="4"/>
    <n v="8"/>
    <n v="2"/>
    <n v="100"/>
    <s v="small typos were usually overcome easily and the narration proceeded as expected. Mispelled inputs that were farther from the semantic/syntax were ignorred, proceeding to considering either an invalid location or invalid city."/>
    <n v="843"/>
    <n v="0"/>
  </r>
  <r>
    <x v="0"/>
    <s v="P4"/>
    <n v="9"/>
    <s v="mispelled_location"/>
    <s v="mispelled location name"/>
    <n v="1"/>
    <s v="Visit Brandnburger"/>
    <s v="Narrator: As you approach the iconic Brandenburg Gate, the towering columns cast long shadows in the early morning light, adding a sense of gravitas to your mission. You carefully scan the surroundings, your eyes catching a glimpse of [load-rated paving mats] scattered near a construction site, suggesting recent heavy equipment activity. A closer look reveals [temporary access bollards] lining the path, possibly indicating an area that had been cordoned off for the thieves' escape route. Suddenly, a gust of wind carries a vibrant [silk scarf] from the nearby crowd, its pattern reminiscent of those favored by the notorious gang leader. Amid the bustling tourists, you notice a set of [tour group headsets] abandoned on a bench, likely left behind by a member of the gang in their haste. Each clue pulls you deeper into the web of deception, urging you to piece together the puzzle and pursue the criminals relentlessly."/>
    <s v="c6, c7, c8, c11"/>
    <m/>
    <m/>
    <m/>
    <m/>
    <m/>
    <n v="2"/>
    <n v="2"/>
    <n v="2"/>
    <m/>
    <m/>
    <n v="2"/>
    <n v="4"/>
    <n v="8"/>
    <n v="2"/>
    <n v="100"/>
    <m/>
    <n v="926"/>
    <n v="0"/>
  </r>
  <r>
    <x v="1"/>
    <s v="P4"/>
    <n v="9"/>
    <s v="mispelled_location"/>
    <s v="mispelled location name"/>
    <n v="1"/>
    <s v="Visit Brandnburger"/>
    <s v="Boss says: Agent, what in the world were you thinking trying to skip out of Berlin before wrapping things up? You’ve barely scraped the surface on the clues, and you’re already itching to hop cities? The impatience is laughable, but your incompetence is just staggering. Get your act together and stop making a mockery of this investigation!"/>
    <s v="c6, c7, c8, c11"/>
    <m/>
    <m/>
    <m/>
    <m/>
    <m/>
    <n v="1"/>
    <n v="1"/>
    <n v="1"/>
    <m/>
    <m/>
    <n v="0"/>
    <n v="4"/>
    <n v="3"/>
    <n v="0.75"/>
    <n v="37.5"/>
    <m/>
    <n v="341"/>
    <n v="1"/>
  </r>
  <r>
    <x v="2"/>
    <s v="P4"/>
    <n v="9"/>
    <s v="mispelled_location"/>
    <s v="mispelled location name"/>
    <n v="1"/>
    <s v="Visit Brandnburger"/>
    <s v="Boss says: Agent, what a brilliant idea to send a request with absolutely zero clarity! Did you think I had time to play location guessing games? You've just wasted everyone's time, and it's being tracked, so congratulations on making the list. Let's go over the locations you so conveniently forgot to mention._x000a_Brandenburg Gate  _x000a_Museum Island  _x000a_Alexanderplatz  _x000a_Tiergarten "/>
    <s v="c6, c7, c8, c11"/>
    <m/>
    <m/>
    <m/>
    <m/>
    <m/>
    <n v="1"/>
    <n v="1"/>
    <n v="1"/>
    <m/>
    <m/>
    <n v="1"/>
    <n v="4"/>
    <n v="4"/>
    <n v="1"/>
    <n v="50"/>
    <m/>
    <n v="375"/>
    <n v="0"/>
  </r>
  <r>
    <x v="0"/>
    <s v="P4"/>
    <n v="9"/>
    <s v="mispelled_location"/>
    <s v="mispelled location name"/>
    <n v="1"/>
    <s v=" Visit cafe de flora"/>
    <s v="Narrator: As you step into the bustling atmosphere of Café de Flore, the aroma of freshly brewed coffee envelops you. Your eyes scan the room, settling on a [cash-stacked table] in the corner, suspiciously untouched by the waitstaff. You approach cautiously, noticing [empty espresso cups] littering the surface, suggesting a recent, hasty departure. Amidst the chaos, a small [crown doodle] catches your attention, scrawled on a napkin, a possible taunt from the elusive thieves. Beside it lies a stack of [philosophy notebooks], their pages filled with cryptic notes and underlined passages, perhaps concealing a hidden message. You feel the weight of the mission pressing upon you, knowing each clue edges you closer to unmasking the criminals."/>
    <s v="c6, c7, c8, c11"/>
    <m/>
    <m/>
    <m/>
    <m/>
    <m/>
    <n v="2"/>
    <n v="2"/>
    <n v="2"/>
    <m/>
    <m/>
    <n v="2"/>
    <n v="4"/>
    <n v="8"/>
    <n v="2"/>
    <n v="100"/>
    <m/>
    <n v="747"/>
    <n v="0"/>
  </r>
  <r>
    <x v="1"/>
    <s v="P4"/>
    <n v="9"/>
    <s v="mispelled_location"/>
    <s v="mispelled location name"/>
    <n v="1"/>
    <s v=" Visit cafe de flora"/>
    <s v="Narrator: As you step into the bustling Café de Flore, the aroma of freshly brewed coffee mingles with the low hum of conversation, creating an atmosphere that feels both welcoming and charged with mystery. You're here to unravel the tangled threads of the audacious Louvre heist, following the trail of the elusive gang who vanished into the European landscape. Your eyes scan the room until they land on a [cash-stacked table] in the corner, a curious sight amid the usual cafe fare. Nearby, a [crown doodle] etched into the wood of another table catches your eye, a symbol that seems to taunt you with its audacity. As you approach, the [philosophy notebooks] scattered across the table suggest a hurried departure, their pages filled with dense scribbles and cryptic notes. The presence of [empty espresso cups] adds a sense of urgency to the scene, their lingering warmth hinting that you might be closer to the thieves than you think."/>
    <s v="c6, c7, c8, c11"/>
    <m/>
    <m/>
    <m/>
    <m/>
    <m/>
    <n v="2"/>
    <n v="2"/>
    <n v="2"/>
    <m/>
    <m/>
    <n v="2"/>
    <n v="4"/>
    <n v="8"/>
    <n v="2"/>
    <n v="100"/>
    <m/>
    <n v="940"/>
    <n v="0"/>
  </r>
  <r>
    <x v="2"/>
    <s v="P4"/>
    <n v="9"/>
    <s v="mispelled_location"/>
    <s v="mispelled location name"/>
    <n v="1"/>
    <s v=" Visit cafe de flora"/>
    <s v="Narrator: The air inside Café de Flore is thick with the aroma of freshly brewed coffee, mingling with the chatter of patrons. As you navigate through the bustling crowd, your eyes are drawn to a [crown doodle] scribbled hastily on a napkin, an echo of the audacious heist that still reverberates across Europe. You edge closer to a secluded corner where a [cash stacked table] catches your attention, the bills arranged with an unnerving precision. Nearby, a collection of [philosophy notebooks] is strewn across a chair, their margins filled with cryptic notes that suggest a deeper connection to the thieves' elaborate plan. At the bar, [espresso cups] clink softly, a rhythmic reminder of the urgency in your pursuit. You feel the tension rising, knowing that each clue brings you a step closer to unraveling the mystery and capturing those responsible for the Louvre's grand theft."/>
    <s v="c6, c7, c8, c11"/>
    <m/>
    <m/>
    <m/>
    <m/>
    <m/>
    <n v="2"/>
    <n v="2"/>
    <n v="2"/>
    <m/>
    <m/>
    <n v="2"/>
    <n v="4"/>
    <n v="8"/>
    <n v="2"/>
    <n v="100"/>
    <m/>
    <n v="886"/>
    <n v="0"/>
  </r>
  <r>
    <x v="0"/>
    <s v="P4"/>
    <n v="9"/>
    <s v="mispelled_location"/>
    <s v="mispelled location name"/>
    <n v="1"/>
    <s v="Visit cafe de la flor"/>
    <s v="Narrator: As you step into the bustling `Café de Flore`, the aroma of freshly brewed coffee envelops you, a stark contrast to the tension of your mission. Your eyes scan the room, landing on a [cash-stacked table] in the corner, a sight that seems oddly out of place in such a casual setting. Beside it, you notice a few [empty espresso cups], their presence hinting at a recent, hurried departure. On another table, a [crown doodle] is scribbled on a napkin, its implications too significant to ignore. Finally, you find a collection of [philosophy notebooks], their pages filled with cryptic notes, perhaps left behind by one of the thieves. Each clue weaves a tapestry of intrigue, urging you to unravel the connections hidden within this Parisian café."/>
    <s v="c6, c7, c8, c11"/>
    <m/>
    <m/>
    <m/>
    <m/>
    <m/>
    <n v="2"/>
    <n v="2"/>
    <n v="2"/>
    <m/>
    <m/>
    <n v="1"/>
    <n v="4"/>
    <n v="7"/>
    <n v="1.75"/>
    <n v="87.5"/>
    <m/>
    <n v="756"/>
    <n v="0"/>
  </r>
  <r>
    <x v="1"/>
    <s v="P4"/>
    <n v="9"/>
    <s v="mispelled_location"/>
    <s v="mispelled location name"/>
    <n v="1"/>
    <s v="Visit cafe de la flor"/>
    <s v="Narrator: Stepping into the lively ambiance of the Café de Flore, you find the air thick with the aroma of fresh espresso and philosophical discourse. The chatter of patrons provides a backdrop as you scan the bustling café, your eyes drawn to a [cash-stacked table] in the corner, suggestive of hurried transactions. Among the scattered debris, a small [crown doodle] etched onto a napkin catches your attention, a potential breadcrumb left by the thieves. Nearby, [philosophy notebooks] lay open, their pages filled with musings that might mask hidden messages. As you move closer to the counter, the sight of [empty espresso cups] tells a story of anxious meetings, fueling the minds behind the heist. The scene sets your pulse racing, each clue weaving a tighter net around the elusive criminals."/>
    <s v="c6, c7, c8, c11"/>
    <m/>
    <m/>
    <m/>
    <m/>
    <m/>
    <n v="2"/>
    <n v="2"/>
    <n v="1"/>
    <m/>
    <m/>
    <n v="1"/>
    <n v="4"/>
    <n v="6"/>
    <n v="1.5"/>
    <n v="75"/>
    <s v="a bit verbose"/>
    <n v="800"/>
    <n v="0"/>
  </r>
  <r>
    <x v="2"/>
    <s v="P4"/>
    <n v="9"/>
    <s v="mispelled_location"/>
    <s v="mispelled location name"/>
    <n v="1"/>
    <s v="Visit cafe de la flor"/>
    <s v="Narrator: The bustling hum of Café de Flore envelops you as you step inside, a notable contrast to the heist's chilling precision. Amidst the chatter and clinking of cups, your eyes catch the familiar [crown doodle] etched subtly into the corner of a table, a signature left by the thieves. Nearby, a [cash stacked table] attracts your attention, a possible sign of hurried dealings. You notice several [philosophy notebooks] scattered across a booth, their margins filled with cryptic notes. As you sip a strong brew from one of the ubiquitous [espresso cups], the pieces of this puzzle begin to align, driving your investigation forward with renewed urgency."/>
    <s v="c6, c7, c8, c11"/>
    <m/>
    <m/>
    <m/>
    <m/>
    <m/>
    <n v="2"/>
    <n v="2"/>
    <n v="2"/>
    <m/>
    <m/>
    <n v="2"/>
    <n v="4"/>
    <n v="8"/>
    <n v="2"/>
    <n v="100"/>
    <s v="good storytelling"/>
    <n v="660"/>
    <n v="0"/>
  </r>
  <r>
    <x v="0"/>
    <s v="P4"/>
    <n v="9"/>
    <s v="mispelled_location"/>
    <s v="mispelled location name"/>
    <n v="1"/>
    <s v="Visit Cafe du Flore"/>
    <s v="Narrator: As you step into the bustling atmosphere of Café de Flore, the aroma of freshly brewed coffee fills the air, mingling with the chatter of patrons. Your eyes scan the room, and you notice a [cash-stacked table] in the corner, seemingly abandoned but suspiciously neat. Among the clutter, a small [crown doodle] catches your attention, sketched hastily on a napkin. Nearby, a pair of [empty espresso cups] suggest a hurried departure, their contents long since drained. You spot a stack of [philosophy notebooks] on the chair, their presence hinting at a deeper connection to the intellectual undercurrents of this iconic café. Each clue weaves a tapestry of intrigue, urging you to piece together the puzzle left behind by the elusive thieves."/>
    <s v="c6, c7, c8, c11"/>
    <m/>
    <m/>
    <m/>
    <m/>
    <m/>
    <n v="2"/>
    <n v="2"/>
    <n v="2"/>
    <m/>
    <m/>
    <n v="2"/>
    <n v="4"/>
    <n v="8"/>
    <n v="2"/>
    <n v="100"/>
    <m/>
    <n v="752"/>
    <n v="0"/>
  </r>
  <r>
    <x v="1"/>
    <s v="P4"/>
    <n v="9"/>
    <s v="mispelled_location"/>
    <s v="mispelled location name"/>
    <n v="1"/>
    <s v="Visit Cafe du Flore"/>
    <s v="Narrator: As you step into the bustling atmosphere of Café de Flore, the scent of freshly brewed coffee mingles with the chatter of patrons. Your eyes scan the room, searching for connections to the daring heist at the Louvre Museum. In a corner, a [cash-stacked table] catches your attention, suspiciously out of place in this elegant Parisian café. Nearby, a sketch of a [crown doodle] on a napkin hints at the thieves' audacity. On another table, [philosophy notebooks] lie open, their pages filled with scribbles, perhaps concealing a coded message. The [empty espresso cups] scattered across the tables suggest a hasty departure, leaving you with the lingering sense that you are on the verge of unraveling a crucial lead."/>
    <s v="c6, c7, c8, c11"/>
    <m/>
    <m/>
    <m/>
    <m/>
    <m/>
    <n v="2"/>
    <n v="2"/>
    <n v="2"/>
    <m/>
    <m/>
    <n v="2"/>
    <n v="4"/>
    <n v="8"/>
    <n v="2"/>
    <n v="100"/>
    <m/>
    <n v="727"/>
    <n v="0"/>
  </r>
  <r>
    <x v="2"/>
    <s v="P4"/>
    <n v="9"/>
    <s v="mispelled_location"/>
    <s v="mispelled location name"/>
    <n v="1"/>
    <s v="Visit Cafe du Flore"/>
    <s v="Narrator: You step into Café de Flore, the air thick with the aroma of freshly brewed coffee mingling with whispers of clandestine conversations. The case of the Louvre heist haunts your thoughts, each detail a piece of the intricate puzzle you must solve. Your eyes scan the room, settling on a [cash stacked table] in the corner, a possible remnant of the thieves' hurried getaway. Nearby, a [crown doodle] sketched on a napkin catches your attention, a mocking nod to their audacious crime. You take a seat and notice the scattered [philosophy notebooks], their pages filled with cryptic notes, as an espresso is served in [espresso cups] that clink softly, a metronome to your racing thoughts. The scene is set, and with each clue, the hunt intensifies, propelling you deeper into the enigma."/>
    <s v="c6, c7, c8, c11"/>
    <m/>
    <m/>
    <m/>
    <m/>
    <m/>
    <n v="2"/>
    <n v="2"/>
    <n v="2"/>
    <m/>
    <m/>
    <n v="2"/>
    <n v="4"/>
    <n v="8"/>
    <n v="2"/>
    <n v="100"/>
    <m/>
    <n v="796"/>
    <n v="0"/>
  </r>
  <r>
    <x v="0"/>
    <s v="P4"/>
    <n v="9"/>
    <s v="mispelled_location"/>
    <s v="mispelled location name"/>
    <n v="1"/>
    <s v="Visit Canal Café"/>
    <s v="Boss says: Are you trying to give me a heart attack, or are you just allergic to details? I don't have time to play guessing games with your cryptic messages. Next time, try using actual words instead of smoke signals. I'm not running a mystery novel here, and believe me, I'm keeping tabs on these aimless communiqués!_x000a_The internal team identified these as priority hotspots:_x000a_Dam Square  _x000a_Anne Frank House  _x000a_Canal-side Café  _x000a_Vondelpark "/>
    <s v="c6, c7, c8, c11"/>
    <m/>
    <m/>
    <m/>
    <m/>
    <m/>
    <n v="1"/>
    <n v="1"/>
    <n v="1"/>
    <m/>
    <m/>
    <n v="1"/>
    <n v="4"/>
    <n v="4"/>
    <n v="1"/>
    <n v="50"/>
    <s v="considered as off context"/>
    <n v="438"/>
    <n v="0"/>
  </r>
  <r>
    <x v="1"/>
    <s v="P4"/>
    <n v="9"/>
    <s v="mispelled_location"/>
    <s v="mispelled location name"/>
    <n v="1"/>
    <s v="Visit Canal Café"/>
    <s v="Boss says: Hey genius, you think we’re mind readers over here? You sent a request to visit a location without bothering to mention which one. Fantastic! It's not like we have anything better to do than play detective with your cryptic messages. And guess what? These brilliant moments of yours are being tracked. Now, for your enlightenment, here are the locations you should be aware of:_x000a_Dam Square  _x000a_Anne Frank House  _x000a_Canal-side Café  _x000a_Vondelpark"/>
    <s v="c6, c7, c8, c11"/>
    <m/>
    <m/>
    <m/>
    <m/>
    <m/>
    <n v="1"/>
    <n v="1"/>
    <n v="1"/>
    <m/>
    <m/>
    <n v="1"/>
    <n v="4"/>
    <n v="4"/>
    <n v="1"/>
    <n v="50"/>
    <s v="considered as off context"/>
    <n v="449"/>
    <n v="0"/>
  </r>
  <r>
    <x v="2"/>
    <s v="P4"/>
    <n v="9"/>
    <s v="mispelled_location"/>
    <s v="mispelled location name"/>
    <n v="1"/>
    <s v="Visit Canal Café"/>
    <s v="Narrator: The murmur of the canal accompanies your footsteps as you approach the Canal-side Café, a quaint spot with a perfect view of the gentle waterway. Inside, the air is thick with the aroma of freshly brewed coffee, but your attention is immediately drawn to a [courier satchel] tucked beneath a table, its worn leather suggesting a hasty departure. Nearby, you notice [water resistant seals] on a stack of crates, an odd choice for a café but perhaps a necessity for someone expecting a quick escape by water. Among the scattered patrons, a man fiddles with an [unusual coin], its design unfamiliar and intriguing, possibly a token of international dealings. As a sudden shower begins, the staff hurriedly unfurls [rain covers] over the patio, and you can't shake the feeling that these simple precautions may be concealing more than just patrons from the rain."/>
    <s v="c6, c7, c8, c11"/>
    <m/>
    <m/>
    <m/>
    <m/>
    <m/>
    <n v="2"/>
    <n v="2"/>
    <n v="2"/>
    <m/>
    <m/>
    <n v="2"/>
    <n v="4"/>
    <n v="8"/>
    <n v="2"/>
    <n v="100"/>
    <m/>
    <n v="868"/>
    <n v="0"/>
  </r>
  <r>
    <x v="0"/>
    <s v="P4"/>
    <n v="9"/>
    <s v="mispelled_location"/>
    <s v="mispelled location name"/>
    <n v="1"/>
    <s v="Visit canal side"/>
    <s v="Narrator: You step into the bustling Canal-side Café, the aroma of fresh coffee mingling with the crisp, cool air. As you scan the room, your eyes catch a [weighted courier satchel] tucked discreetly beneath a nearby table, its presence incongruous in such a casual setting. The sound of clinking cups draws your attention to the counter, where you notice several [water-resistant seals] scattered carelessly, hinting at a hurried exit. Outside, the rain begins to patter lightly on the cobblestones, and you spot a stack of [rain covers stacked] near the entrance, suggesting a hasty preparation for departure. As you turn back, a glint from the floor reveals an [unusual coin], possibly dropped in the thieves' haste, a silent witness to their fleeting presence."/>
    <s v="c6, c7, c8, c11"/>
    <m/>
    <m/>
    <m/>
    <m/>
    <m/>
    <n v="2"/>
    <n v="2"/>
    <n v="2"/>
    <m/>
    <m/>
    <n v="2"/>
    <n v="4"/>
    <n v="8"/>
    <n v="2"/>
    <n v="100"/>
    <m/>
    <n v="764"/>
    <n v="0"/>
  </r>
  <r>
    <x v="1"/>
    <s v="P4"/>
    <n v="9"/>
    <s v="mispelled_location"/>
    <s v="mispelled location name"/>
    <n v="1"/>
    <s v="Visit canal side"/>
    <s v="Narrator: The soft murmur of the river accompanies you as you arrive at the quaint [Canal-side Café], its quiet charm a stark contrast to the high-stakes drama of the Louvre heist. You scan the tables, your eyes catching the glint of a [weighted courier satchel] hanging carelessly on a chair, an item that seems oddly out of place in such a relaxed setting. The rain clouds gather ominously, and you notice a stack of [rain covers stacked] near the entrance, suggesting the café is prepared for the impending weather. As you sip your coffee, you absentmindedly turn an [unusual coin] in your hand, its foreign markings a potential key to your pursuit. The barkeep wipes down the counter, revealing a set of [water-resistant seals] beneath, hinting at transactions that might not survive a storm. Each discovery fuels your resolve, the pieces of the puzzle slowly aligning as you prepare to follow the trail deeper into the European underworld."/>
    <s v="c6, c7, c8, c11"/>
    <m/>
    <m/>
    <m/>
    <m/>
    <m/>
    <n v="2"/>
    <n v="2"/>
    <n v="2"/>
    <m/>
    <m/>
    <n v="2"/>
    <n v="4"/>
    <n v="8"/>
    <n v="2"/>
    <n v="100"/>
    <m/>
    <n v="944"/>
    <n v="0"/>
  </r>
  <r>
    <x v="2"/>
    <s v="P4"/>
    <n v="9"/>
    <s v="mispelled_location"/>
    <s v="mispelled location name"/>
    <n v="1"/>
    <s v="Visit canal side"/>
    <s v="Narrator: As you step into the Canal-side Café, the air hums with quiet conversations and the clinking of cups, an incongruous backdrop to the high-stakes world of art theft. Your eyes scan the room, searching for anything that might connect this quaint locale to the audacious heist at the Louvre. On a chair near the window, you notice a [courier satchel] slung casually, its presence out of place in the relaxed setting. Nearby, a table bears evidence of recent rain, its surface protected by [water resistant seals], hinting at a hurried, secretive meeting. As you move further in, a glint catches your eye—a small [unusual coin] left behind, its origin unfamiliar but suggestive of clandestine dealings. Just as you're piecing together these disparate clues, a sudden downpour begins outside, and your gaze shifts to the [rain covers] hastily bundled in the corner, reinforcing the sense of urgency and escape. With these clues in hand, the path forward in your pursuit of the elusive thieves becomes increasingly clear."/>
    <s v="c6, c7, c8, c11"/>
    <m/>
    <m/>
    <m/>
    <m/>
    <m/>
    <n v="2"/>
    <n v="2"/>
    <n v="2"/>
    <m/>
    <m/>
    <n v="2"/>
    <n v="4"/>
    <n v="8"/>
    <n v="2"/>
    <n v="100"/>
    <m/>
    <n v="1025"/>
    <n v="0"/>
  </r>
  <r>
    <x v="0"/>
    <s v="P4"/>
    <n v="9"/>
    <s v="mispelled_location"/>
    <s v="mispelled location name"/>
    <n v="1"/>
    <s v="Visit canale"/>
    <s v="Boss says: You're driving me nuts with these vague requests! Do you think I have time to play guessing games with you? Next time you send me a message without specifics, I'll make sure you get a permanent spot on my wall of shame. Start being clear or start looking for a new job!_x000a_Here's a list of our priority hotspots, just in case you need a reminder:_x000a_Dam Square  _x000a_Anne Frank House  _x000a_Canal-side Café  _x000a_Vondelpark"/>
    <s v="c6, c7, c8, c11"/>
    <m/>
    <m/>
    <m/>
    <m/>
    <m/>
    <n v="1"/>
    <n v="1"/>
    <n v="1"/>
    <m/>
    <m/>
    <n v="1"/>
    <n v="4"/>
    <n v="4"/>
    <n v="1"/>
    <n v="50"/>
    <s v="considered as off context"/>
    <n v="415"/>
    <n v="0"/>
  </r>
  <r>
    <x v="1"/>
    <s v="P4"/>
    <n v="9"/>
    <s v="mispelled_location"/>
    <s v="mispelled location name"/>
    <n v="1"/>
    <s v="Visit canale"/>
    <s v="Boss says: Oh, fantastic! Another vague request from you. Just what we needed to add some mystery to our day! You know, some of us enjoy having a clue about where we're supposed to be investigating. Thanks to your lack of specificity, we've wasted valuable time playing the guessing game. And guess what? We're keeping track of these stellar communications of yours._x000a__x000a_Here's a list of the locations you should have been clear about:_x000a__x000a_Dam Square  _x000a_Anne Frank House  _x000a_Canal-side Café  _x000a_Vondelpark  "/>
    <s v="c6, c7, c8, c11"/>
    <m/>
    <m/>
    <m/>
    <m/>
    <m/>
    <n v="1"/>
    <n v="1"/>
    <n v="1"/>
    <m/>
    <m/>
    <n v="1"/>
    <n v="4"/>
    <n v="4"/>
    <n v="1"/>
    <n v="50"/>
    <s v="considered as off context"/>
    <n v="496"/>
    <n v="0"/>
  </r>
  <r>
    <x v="2"/>
    <s v="P4"/>
    <n v="9"/>
    <s v="mispelled_location"/>
    <s v="mispelled location name"/>
    <n v="1"/>
    <s v="Visit canale"/>
    <s v="Boss says: Oh, fantastic work there, agent! Really stellar job at being as vague as humanly possible with your request. You didn't specify a location, and now we've all just wasted our precious time on a wild goose chase. Congratulations, you've managed to set new standards for inefficiency! Just so you know, we're keeping track of these brilliant moments of yours._x000a__x000a_Here are the locations you somehow forgot to mention:_x000a__x000a_Dam Square  _x000a_Anne Frank House  _x000a_Canal-side Café  _x000a_Vondelpark  "/>
    <s v="c6, c7, c8, c11"/>
    <m/>
    <m/>
    <m/>
    <m/>
    <m/>
    <n v="1"/>
    <n v="1"/>
    <n v="1"/>
    <m/>
    <m/>
    <n v="1"/>
    <n v="4"/>
    <n v="4"/>
    <n v="1"/>
    <n v="50"/>
    <s v="considered as off context"/>
    <n v="486"/>
    <n v="0"/>
  </r>
  <r>
    <x v="0"/>
    <s v="P4"/>
    <n v="9"/>
    <s v="mispelled_location"/>
    <s v="mispelled location name"/>
    <n v="1"/>
    <s v="Visit canoli"/>
    <s v="Boss says: You call that a request, genius? I don't have time to play detective with your half-baked clues. Maybe next time you can tell me which rabbit hole you want to dive into before wasting my time. I'm not running a guessing game here, and believe me, I'm keeping a tally of every useless message you send._x000a_Our internal team identified these locations as priority hotspots:_x000a_Dam Square  _x000a_Anne Frank House  _x000a_Canal-side Café  _x000a_Vondelpark"/>
    <s v="c6, c7, c8, c11"/>
    <m/>
    <m/>
    <m/>
    <m/>
    <m/>
    <n v="1"/>
    <n v="1"/>
    <n v="1"/>
    <m/>
    <m/>
    <n v="2"/>
    <n v="4"/>
    <n v="5"/>
    <n v="1.25"/>
    <n v="62.5"/>
    <s v="considered off-context. improvement: make a joke using player's input"/>
    <n v="440"/>
    <n v="0"/>
  </r>
  <r>
    <x v="1"/>
    <s v="P4"/>
    <n v="9"/>
    <s v="mispelled_location"/>
    <s v="mispelled location name"/>
    <n v="1"/>
    <s v="Visit canoli"/>
    <s v="Boss says: Agent, do you enjoy wasting everyone's time, or is this just a special skill of yours? You managed to send a request so vague it could be a new form of art—except it's not art, it's a colossal waste of resources! Now, I have to remind you that these little gems of ambiguity are being tracked, so let's try to get it right next time, shall we? Just to clarify, these are the locations on our radar:_x000a_Dam Square  _x000a_Anne Frank House  _x000a_Canal-side Café  _x000a_Vondelpark"/>
    <s v="c6, c7, c8, c11"/>
    <m/>
    <m/>
    <m/>
    <m/>
    <m/>
    <n v="1"/>
    <n v="1"/>
    <n v="1"/>
    <m/>
    <m/>
    <n v="2"/>
    <n v="4"/>
    <n v="5"/>
    <n v="1.25"/>
    <n v="62.5"/>
    <s v="considered as off context"/>
    <n v="470"/>
    <n v="0"/>
  </r>
  <r>
    <x v="2"/>
    <s v="P4"/>
    <n v="9"/>
    <s v="mispelled_location"/>
    <s v="mispelled location name"/>
    <n v="1"/>
    <s v="Visit canoli"/>
    <s v="Boss says: You think it's okay to send requests without specifying a location? What do you expect us to do, read your mind? Thanks to your vague messages, we’ve wasted time running in circles. And guess what? These slip-ups are being tracked. Now, let's look at the places you might have meant:_x000a__x000a_Dam Square  _x000a_Anne Frank House  _x000a_Canal-side Café  _x000a_Vondelpark  "/>
    <s v="c6, c7, c8, c11"/>
    <m/>
    <m/>
    <m/>
    <m/>
    <m/>
    <n v="1"/>
    <n v="1"/>
    <n v="1"/>
    <m/>
    <m/>
    <n v="2"/>
    <n v="4"/>
    <n v="5"/>
    <n v="1.25"/>
    <n v="62.5"/>
    <s v="considered as off context"/>
    <n v="358"/>
    <n v="0"/>
  </r>
  <r>
    <x v="0"/>
    <s v="P4"/>
    <n v="9"/>
    <s v="mispelled_location"/>
    <s v="mispelled location name"/>
    <n v="1"/>
    <s v="Visit center"/>
    <s v="Boss says: You know what I love? Wasting my time trying to decipher vague requests! Next time, why don't you just send me a smoke signal? I swear, if I get one more useless message like this, I'm keeping track and you're gonna need a map to find your job. _x000a_Our internal team identified these locations as priority hotspots:_x000a_Grand Place  _x000a_Brussels Central Station  _x000a_Belgian Comic Strip Center  _x000a_Botanical Garden of Brussels"/>
    <s v="c6, c7, c8, c11"/>
    <m/>
    <m/>
    <m/>
    <m/>
    <m/>
    <n v="1"/>
    <n v="1"/>
    <n v="1"/>
    <m/>
    <m/>
    <n v="2"/>
    <n v="4"/>
    <n v="5"/>
    <n v="1.25"/>
    <n v="62.5"/>
    <s v="considered as off context"/>
    <n v="422"/>
    <n v="0"/>
  </r>
  <r>
    <x v="1"/>
    <s v="P4"/>
    <n v="9"/>
    <s v="mispelled_location"/>
    <s v="mispelled location name"/>
    <n v="1"/>
    <s v="Visit center"/>
    <s v="Boss says: You’ve really outdone yourself this time, agent! A request to visit a location without actually naming the location—brilliant! Do you have any idea how much time you’ve wasted with your cryptic nonsense? Here’s a newsflash: these pointless messages are being tracked, and your sloppy work is on the radar. Let me remind you of the locations we’re actually interested in:_x000a__x000a_Grand Place  _x000a_Brussels Central Station  _x000a_Belgian Comic Strip Center  _x000a_Botanical Garden of Brussels"/>
    <s v="c6, c7, c8, c11"/>
    <m/>
    <m/>
    <m/>
    <m/>
    <m/>
    <n v="1"/>
    <n v="1"/>
    <n v="1"/>
    <m/>
    <m/>
    <n v="2"/>
    <n v="4"/>
    <n v="5"/>
    <n v="1.25"/>
    <n v="62.5"/>
    <s v="considered as off context"/>
    <n v="481"/>
    <n v="0"/>
  </r>
  <r>
    <x v="2"/>
    <s v="P4"/>
    <n v="9"/>
    <s v="mispelled_location"/>
    <s v="mispelled location name"/>
    <n v="1"/>
    <s v="Visit center"/>
    <s v="Boss says: You’ve got to be kidding me, Agent. How is anyone supposed to know where you want to go when you can’t even bother to specify the location? Do you think I have time to play guessing games? Newsflash: I don’t. This kind of sloppy work is being tracked, and guess what? It’s not a good look for you. Now, let me remind you of the places we’re actually interested in:_x000a__x000a_Grand Place  _x000a_Brussels Central Station  _x000a_Belgian Comic Strip Center  _x000a_Botanical Garden of Brussels"/>
    <s v="c6, c7, c8, c11"/>
    <m/>
    <m/>
    <m/>
    <m/>
    <m/>
    <n v="1"/>
    <n v="1"/>
    <n v="1"/>
    <m/>
    <m/>
    <n v="2"/>
    <n v="4"/>
    <n v="5"/>
    <n v="1.25"/>
    <n v="62.5"/>
    <s v="considered as off context"/>
    <n v="475"/>
    <n v="0"/>
  </r>
  <r>
    <x v="0"/>
    <s v="P4"/>
    <n v="9"/>
    <s v="mispelled_location"/>
    <s v="mispelled location name"/>
    <n v="1"/>
    <s v="Visit central"/>
    <s v="Narrator: As you step into the bustling environment of Brussels Central Station, the air is filled with a cacophony of announcements and the shuffling of hurried travelers. Your eyes are drawn to a [chocolate kiosk] nearby, its display a tempting array of Belgian delights, but your focus remains sharp. Suddenly, a [suspicious backpack] abandoned on a bench catches your attention, its worn fabric hinting at a hasty departure. You approach with caution, aware that it might hold vital evidence. Nearby, a [security camera snapshot] pinned to a bulletin board reveals the blurred image of a figure hurriedly exiting a train, their features obscured but their intent clear. A glance at the [platform signage] above confirms that this is the right track, both literally and metaphorically, as you piece together the movements of the elusive thieves."/>
    <s v="c6, c7, c8, c11"/>
    <m/>
    <m/>
    <m/>
    <m/>
    <m/>
    <n v="2"/>
    <n v="2"/>
    <n v="2"/>
    <m/>
    <m/>
    <n v="1"/>
    <n v="4"/>
    <n v="7"/>
    <n v="1.75"/>
    <n v="87.5"/>
    <s v="small typos were overcome easily"/>
    <n v="848"/>
    <n v="0"/>
  </r>
  <r>
    <x v="1"/>
    <s v="P4"/>
    <n v="9"/>
    <s v="mispelled_location"/>
    <s v="mispelled location name"/>
    <n v="1"/>
    <s v="Visit central"/>
    <s v="Boss says: Agent, what a fantastic job you've done at wasting everyone's time with your masterpiece of vagueness! A location request without a location—brilliant! Do you think we're psychic or just here for your amusement? Just a friendly reminder: your stellar non-specific messages are being tracked for future reference. Now, for your benefit and anyone else who might need a geography lesson, here are the locations you should be familiar with:_x000a__x000a_Grand Place  _x000a_Brussels Central Station  _x000a_Belgian Comic Strip Center  _x000a_Botanical Garden of Brussels"/>
    <s v="c6, c7, c8, c11"/>
    <m/>
    <m/>
    <m/>
    <m/>
    <m/>
    <n v="1"/>
    <n v="1"/>
    <n v="1"/>
    <m/>
    <m/>
    <n v="2"/>
    <n v="4"/>
    <n v="5"/>
    <n v="1.25"/>
    <n v="62.5"/>
    <m/>
    <n v="548"/>
    <n v="0"/>
  </r>
  <r>
    <x v="2"/>
    <s v="P4"/>
    <n v="9"/>
    <s v="mispelled_location"/>
    <s v="mispelled location name"/>
    <n v="1"/>
    <s v="Visit central"/>
    <s v="Boss says: Listen up, agent! Did you think I had nothing better to do than decipher your cryptic nonsense? You failed to specify a location, and now we're running around like headless chickens. We're keeping track of these pointless messages, just so you know._x000a__x000a_Here's a refresher on the locations we actually care about:_x000a__x000a_Grand Place  _x000a_Brussels Central Station  _x000a_Belgian Comic Strip Center  _x000a_Botanical Garden of Brussels  "/>
    <s v="c6, c7, c8, c11"/>
    <m/>
    <m/>
    <m/>
    <m/>
    <m/>
    <n v="1"/>
    <n v="1"/>
    <n v="1"/>
    <m/>
    <m/>
    <n v="2"/>
    <n v="4"/>
    <n v="5"/>
    <n v="1.25"/>
    <n v="62.5"/>
    <m/>
    <n v="423"/>
    <n v="0"/>
  </r>
  <r>
    <x v="0"/>
    <s v="P4"/>
    <n v="9"/>
    <s v="mispelled_location"/>
    <s v="mispelled location name"/>
    <n v="1"/>
    <s v="Visit Central Station"/>
    <s v="Narrator: The hustle and bustle of Brussels Central Station envelops you as you navigate through the throngs of commuters. Your eyes scan the area, landing on a [chocolate kiosk] where a vendor's cheery voice calls out to passersby. Nearby, a [suspicious backpack] sits unattended, drawing your attention as you recall the gang's penchant for planting distractions. You glance upward, catching a glimpse of a [security camera snapshot] that might hold the key to tracing the thieves' escape route. As the intercom crackles with announcements, your gaze shifts to the [platform signage], a possible indicator of their next destination. Every detail here could be a piece of the puzzle, urging you to stay alert and follow the trail."/>
    <s v="c6, c7, c8, c11"/>
    <m/>
    <m/>
    <m/>
    <m/>
    <m/>
    <n v="2"/>
    <n v="2"/>
    <n v="2"/>
    <m/>
    <m/>
    <n v="2"/>
    <n v="4"/>
    <n v="8"/>
    <n v="2"/>
    <n v="100"/>
    <m/>
    <n v="731"/>
    <n v="0"/>
  </r>
  <r>
    <x v="1"/>
    <s v="P4"/>
    <n v="9"/>
    <s v="mispelled_location"/>
    <s v="mispelled location name"/>
    <n v="1"/>
    <s v="Visit Central Station"/>
    <s v="Narrator: As you step off the train at Brussels Central Station, the hustle and bustle of travelers surround you, each with their own story. Your eyes scan the area, and near a [chocolate kiosk], a man with a [suspicious backpack] catches your attention, glancing around nervously. You edge closer, your heart pounding, and spot a [security camera snapshot] pinned to a nearby bulletin board, displaying a blurred image of a figure fleeing the Louvre. The [platform signage] above you flickers, announcing departures, as you realize the chase through Europe has only just begun."/>
    <s v="c6, c7, c8, c11"/>
    <m/>
    <m/>
    <m/>
    <m/>
    <m/>
    <n v="2"/>
    <n v="2"/>
    <n v="2"/>
    <m/>
    <m/>
    <n v="2"/>
    <n v="4"/>
    <n v="8"/>
    <n v="2"/>
    <n v="100"/>
    <m/>
    <n v="578"/>
    <n v="0"/>
  </r>
  <r>
    <x v="2"/>
    <s v="P4"/>
    <n v="9"/>
    <s v="mispelled_location"/>
    <s v="mispelled location name"/>
    <n v="1"/>
    <s v="Visit Central Station"/>
    <s v="Narrator: The bustling hum of Brussels Central Station envelops you as you weave through the throngs of travelers, your mind focused on the audacious heist at the Louvre. A [security camera snapshot] from the station, dated the day after the robbery, had led you here, hinting at the thieves' possible escape route. Amidst the sea of commuters, you notice a [chocolate kiosk], its brightly colored wrappers masking the tension in the air, a perfect place for a quick handoff or exchange. Your gaze drifts to a [suspicious backpack] abandoned on a bench, its presence incongruous and compelling, drawing you closer with the promise of secrets within. As the announcement echoes overhead, the [platform signage] flickers, its message obscured by the shadows of a departing train, suggesting the path the culprits might have taken. The clues are like breadcrumbs, urging you deeper into the heart of the chase, the weight of the unsolved crime pressing heavily on your shoulders."/>
    <s v="c6, c7, c8, c11"/>
    <m/>
    <m/>
    <m/>
    <m/>
    <m/>
    <n v="2"/>
    <n v="2"/>
    <n v="1"/>
    <m/>
    <m/>
    <n v="2"/>
    <n v="4"/>
    <n v="7"/>
    <n v="1.75"/>
    <n v="87.5"/>
    <s v="a bit verbose; some unnecessary details."/>
    <n v="976"/>
    <n v="0"/>
  </r>
  <r>
    <x v="0"/>
    <s v="P4"/>
    <n v="9"/>
    <s v="mispelled_location"/>
    <s v="mispelled location name"/>
    <n v="1"/>
    <s v="Visit comic centre"/>
    <s v="Narrator: As you step into the vibrant halls of the Belgian Comic Strip Center, your senses are immediately enveloped by the colorful murals that depict beloved characters. You notice a striking [tintin mural] on the wall, its vivid colors almost leaping off the surface, drawing you closer. Nearby, a discarded [coffee cup with initials] catches your eye, resting on a table surrounded by bustling tourists. Your instincts tell you it's not just an ordinary cup; it might hold a crucial hint about the thieves' identities. As you continue your search, a pile of [folded coveralls] is tucked away in a corner, almost hidden in plain sight, hinting at a quick change of disguise. Finally, your attention is drawn to a rack displaying [souvenir postcards], each one potentially holding messages or symbols left behind by the cunning culprits."/>
    <s v="c6, c7, c8, c11"/>
    <m/>
    <m/>
    <m/>
    <m/>
    <m/>
    <n v="2"/>
    <n v="2"/>
    <n v="2"/>
    <m/>
    <m/>
    <n v="2"/>
    <n v="4"/>
    <n v="8"/>
    <n v="2"/>
    <n v="100"/>
    <m/>
    <n v="840"/>
    <n v="0"/>
  </r>
  <r>
    <x v="1"/>
    <s v="P4"/>
    <n v="9"/>
    <s v="mispelled_location"/>
    <s v="mispelled location name"/>
    <n v="1"/>
    <s v="Visit comic centre"/>
    <s v="Narrator: You step into the Belgian Comic Strip Center, the air thick with the scent of aged paper and ink, a stark contrast to the glimmering chaos of the Louvre heist. Your eyes scan the vivid murals, settling on a [tintin mural], a reminder of the treasures that brought you here. In a dimly lit corner, you notice a [folded coveralls] carelessly tossed aside, hinting at a hasty departure. Nearby, a [coffee cup with initials] sits abandoned on a wooden table, the steam still swirling, suggesting the presence of someone recently gone. Among the racks of colorful souvenirs, you find [souvenir postcards] depicting various European landmarks, perhaps marking the thieves' next move. The clues, seemingly innocuous, weave a tapestry of connections that urge you deeper into the mystery, every discovery heightening the tension of the chase."/>
    <s v="c6, c7, c8, c11"/>
    <m/>
    <m/>
    <m/>
    <m/>
    <m/>
    <n v="2"/>
    <n v="2"/>
    <n v="2"/>
    <m/>
    <m/>
    <n v="2"/>
    <n v="4"/>
    <n v="8"/>
    <n v="2"/>
    <n v="100"/>
    <m/>
    <n v="844"/>
    <n v="0"/>
  </r>
  <r>
    <x v="2"/>
    <s v="P4"/>
    <n v="9"/>
    <s v="mispelled_location"/>
    <s v="mispelled location name"/>
    <n v="1"/>
    <s v="Visit comic centre"/>
    <s v="Narrator: As you step into the Belgian Comic Strip Center, the vibrant colors of the murals greet you, yet your eyes are drawn to a particular [tintin mural] that seems oddly familiar. The hustle and bustle around you mirrors the chaotic energy of the Louvre heist, where the gang of thieves vanished like ghosts. Nearby, a [folded coveralls] is tucked away in a corner, its fabric marked with the dust of a hurried escape. At a small café within the center, a [coffee cup with initials] sits abandoned on a table, a subtle reminder of the crew’s presence. You notice [souvenir postcards] strewn across a nearby stand, each depicting scenes of grandeur, as if taunting you with the treasures that have slipped through your fingers. The pieces are coming together, and you feel the tension of the chase pulling you deeper into the heart of the mystery."/>
    <s v="c6, c7, c8, c11"/>
    <m/>
    <m/>
    <m/>
    <m/>
    <m/>
    <n v="2"/>
    <n v="2"/>
    <n v="2"/>
    <m/>
    <m/>
    <n v="2"/>
    <n v="4"/>
    <n v="8"/>
    <n v="2"/>
    <n v="100"/>
    <m/>
    <n v="851"/>
    <n v="0"/>
  </r>
  <r>
    <x v="0"/>
    <s v="P4"/>
    <n v="9"/>
    <s v="mispelled_location"/>
    <s v="mispelled location name"/>
    <n v="1"/>
    <s v="Visit comic museum"/>
    <s v="Narrator: As you step into the Belgian Comic Strip Center, the vibrant colors of a [Tintin mural] catch your eye, drawing you into the whimsical world of Hergé. The bustling sound of visitors echoes through the halls, but your attention is drawn to an inconspicuous pile of [folded coveralls] tucked away in a corner, a peculiar find in such a lively setting. Near a cozy café, you spot a [coffee cup with initials] abandoned on a table, its presence suggesting a hurried departure. Your heart races as you scan the gift shop, where a rack of [souvenir postcards] beckons, each depicting scenes from famous comic adventures, potentially a coded message left by the cunning thieves."/>
    <s v="c6, c7, c8, c11"/>
    <m/>
    <m/>
    <m/>
    <m/>
    <m/>
    <n v="2"/>
    <n v="2"/>
    <n v="2"/>
    <m/>
    <m/>
    <n v="1"/>
    <n v="4"/>
    <n v="7"/>
    <n v="1.75"/>
    <n v="87.5"/>
    <m/>
    <n v="681"/>
    <n v="0"/>
  </r>
  <r>
    <x v="1"/>
    <s v="P4"/>
    <n v="9"/>
    <s v="mispelled_location"/>
    <s v="mispelled location name"/>
    <n v="1"/>
    <s v="Visit comic museum"/>
    <s v="Narrator: You step into the Belgian Comic Strip Center, the air thick with the scent of old paper and ink, a fitting backdrop for your pursuit. The vibrant colors of the [tintin mural] immediately catch your eye, a reminder of adventures and mysteries waiting to be solved. As you wander through the exhibits, your gaze lands on a [folded coveralls] tucked behind a display, an oddity amidst the artistry, hinting at the cunning disguises the thieves might have employed. Nearby, a [coffee cup with initials] rests abandoned on a table, its contents long cold but the initials offering a potential lead. Among the souvenirs, [souvenir postcards] from the Louvre are conspicuously out of place, a breadcrumb trail daring you to follow. With each discovery, the puzzle pieces begin to align, and you feel the tension mount as you edge closer to unraveling the gang's elusive path."/>
    <s v="c6, c7, c8, c11"/>
    <m/>
    <m/>
    <m/>
    <m/>
    <m/>
    <n v="2"/>
    <n v="2"/>
    <n v="2"/>
    <m/>
    <m/>
    <n v="1"/>
    <n v="4"/>
    <n v="7"/>
    <n v="1.75"/>
    <n v="87.5"/>
    <m/>
    <n v="878"/>
    <n v="0"/>
  </r>
  <r>
    <x v="2"/>
    <s v="P4"/>
    <n v="9"/>
    <s v="mispelled_location"/>
    <s v="mispelled location name"/>
    <n v="1"/>
    <s v="Visit comic museum"/>
    <s v="Narrator: The Belgian Comic Strip Center looms before you, a grand tribute to the art of storytelling, but today it serves as the next chapter in your pursuit of the Louvre heist culprits. As you navigate the vibrant halls, your eyes are drawn to a [Tintin mural], its adventurous spirit echoing the very chase you find yourself embroiled in. Nearby, a discarded [coffee cup with initials] rests on a windowsill, its cryptic marking a tantalizing lead. Your attention shifts to a small pile of [souvenir postcards], the kind tourists might collect, yet something about them feels more deliberate, more personal. And then, tucked behind a display, a set of [folded coveralls] catches your eye, the fabric still bearing traces of paint and dust. Each discovery pulls you deeper into the mystery, the pieces of a puzzle that are slowly coming together."/>
    <s v="c6, c7, c8, c11"/>
    <m/>
    <m/>
    <m/>
    <m/>
    <m/>
    <n v="2"/>
    <n v="2"/>
    <n v="2"/>
    <m/>
    <m/>
    <n v="1"/>
    <n v="4"/>
    <n v="7"/>
    <n v="1.75"/>
    <n v="87.5"/>
    <m/>
    <n v="849"/>
    <n v="0"/>
  </r>
  <r>
    <x v="0"/>
    <s v="P4"/>
    <n v="9"/>
    <s v="mispelled_location"/>
    <s v="mispelled location name"/>
    <n v="1"/>
    <s v="Visit Comic Strip Centre"/>
    <s v="Narrator: As you step into the vibrant world of the Belgian Comic Strip Center, the lively colors and whimsical characters almost make you forget the gravity of your mission. Your eyes are immediately drawn to a massive [tintin mural], its adventurous scenes echoing your own quest for justice. As you navigate through the bustling gallery, you notice a [coffee cup with initials] perched precariously on a display stand, suggesting a hasty exit by someone who shouldn't have been there. Moving further, your keen eye catches a pair of [folded coveralls] tucked behind a bench, a subtle nod to the thieves' construction worker disguises. Before leaving, you spot [souvenir postcards] strewn across the floor, each depicting scenes from famous comic strips, as if left behind in a hurry. Your pulse quickens with the realization that you're on the right track."/>
    <s v="c6, c7, c8, c11"/>
    <m/>
    <m/>
    <m/>
    <m/>
    <m/>
    <n v="2"/>
    <n v="2"/>
    <n v="2"/>
    <m/>
    <m/>
    <n v="2"/>
    <n v="4"/>
    <n v="8"/>
    <n v="2"/>
    <n v="100"/>
    <m/>
    <n v="859"/>
    <n v="0"/>
  </r>
  <r>
    <x v="1"/>
    <s v="P4"/>
    <n v="9"/>
    <s v="mispelled_location"/>
    <s v="mispelled location name"/>
    <n v="1"/>
    <s v="Visit Comic Strip Centre"/>
    <s v="Narrator: You step into the Belgian Comic Strip Center, its halls echoing with whispers of art and intrigue, and the air tinged with the scent of freshly brewed coffee. As you navigate the vibrant displays, a [tintin mural] catches your eye, a reminder of the daring escapades that parallel your own pursuit of the elusive thieves. Nearby, a discarded [coffee cup with initials] sits on a bench, an ominous trace left by someone who might have passed through in haste. Among the souvenirs, a collection of [souvenir postcards] depicts scenes of Paris, a subtle nod to the heist's origin. Behind a display case, you notice a pair of [folded coveralls], out of place in this setting, hinting at a disguise that might have been shed. Each discovery fuels your resolve as you piece together the trail leading closer to the elusive culprits."/>
    <s v="c6, c7, c8, c11"/>
    <m/>
    <m/>
    <m/>
    <m/>
    <m/>
    <n v="2"/>
    <n v="2"/>
    <n v="2"/>
    <m/>
    <m/>
    <n v="2"/>
    <n v="4"/>
    <n v="8"/>
    <n v="2"/>
    <n v="100"/>
    <m/>
    <n v="836"/>
    <n v="0"/>
  </r>
  <r>
    <x v="2"/>
    <s v="P4"/>
    <n v="9"/>
    <s v="mispelled_location"/>
    <s v="mispelled location name"/>
    <n v="1"/>
    <s v="Visit Comic Strip Centre"/>
    <s v="Narrator: You step into the Belgian Comic Strip Center, a sanctuary of vibrant colors and stories frozen in time, seeking a whisper of the past that could illuminate the present mystery. The air hums with the echoes of laughter and the rustle of comic pages, a stark contrast to the tension of your mission. Your eyes catch a [folded coveralls] discarded in a corner, its fabric still smudged with dust, reminiscent of the Louvre's construction chaos. A [tintin mural] looms large above, its adventurous spirit mirrored by your own quest. On a nearby table, a [coffee cup with initials] is abandoned, its lingering warmth a silent testament to a hurried exit. As you sift through a stack of [souvenir postcards], a sense of urgency courses through you, propelling you further along the trail of deception and elusive justice."/>
    <s v="c6, c7, c8, c11"/>
    <m/>
    <m/>
    <m/>
    <m/>
    <m/>
    <n v="2"/>
    <n v="2"/>
    <n v="2"/>
    <m/>
    <m/>
    <n v="2"/>
    <n v="4"/>
    <n v="8"/>
    <n v="2"/>
    <n v="100"/>
    <m/>
    <n v="825"/>
    <n v="0"/>
  </r>
  <r>
    <x v="0"/>
    <s v="P4"/>
    <n v="9"/>
    <s v="mispelled_location"/>
    <s v="mispelled location name"/>
    <n v="1"/>
    <s v="Visit condelpark"/>
    <s v="Boss says: What do you think this is, amateur hour? You send me a request to visit a location, but you don't even specify which one! I'm not a mind reader, and I certainly don't have time to play guessing games. These useless messages are going on your record, so shape up!_x000a__x000a_Here are the priority hotspots our internal team identified:_x000a__x000a_Dam Square  _x000a_Anne Frank House  _x000a_Canal-side Café  _x000a_Vondelpark  "/>
    <s v="c6, c7, c8, c11"/>
    <m/>
    <m/>
    <m/>
    <m/>
    <m/>
    <n v="1"/>
    <n v="1"/>
    <n v="1"/>
    <m/>
    <m/>
    <n v="2"/>
    <n v="4"/>
    <n v="5"/>
    <n v="1.25"/>
    <n v="62.5"/>
    <s v="considered as off context; this wasn't perceived by the model as a small typo"/>
    <n v="399"/>
    <n v="0"/>
  </r>
  <r>
    <x v="1"/>
    <s v="P4"/>
    <n v="9"/>
    <s v="mispelled_location"/>
    <s v="mispelled location name"/>
    <n v="1"/>
    <s v="Visit condelpark"/>
    <s v="Boss says: You call yourself an investigative agent, and yet you send a request so vague it might as well be written in invisible ink! I guess you thought we were psychic, but newsflash: we're not! Thanks to your incredible lack of specificity, you've successfully wasted our time and stalled the investigation. And guess what? These delightful little stunts are being tracked. Now, for your educational benefit, here's a list of the locations you failed to specify:_x000a__x000a_Dam Square  _x000a_Anne Frank House  _x000a_Canal-side Café  _x000a_Vondelpark"/>
    <s v="c6, c7, c8, c11"/>
    <m/>
    <m/>
    <m/>
    <m/>
    <m/>
    <n v="1"/>
    <n v="1"/>
    <n v="1"/>
    <m/>
    <m/>
    <n v="2"/>
    <n v="4"/>
    <n v="5"/>
    <n v="1.25"/>
    <n v="62.5"/>
    <s v="considered as off context; this wasn't perceived by the model as a small typo"/>
    <n v="528"/>
    <n v="0"/>
  </r>
  <r>
    <x v="2"/>
    <s v="P4"/>
    <n v="9"/>
    <s v="mispelled_location"/>
    <s v="mispelled location name"/>
    <n v="1"/>
    <s v="Visit condelpark"/>
    <s v="Boss says: Hey, genius! Do you think we have all day to decipher your cryptic requests? You managed to send a request so vague that a mind reader couldn't figure out where you wanted to go. Thanks for the wild goose chase—I'm sure the investigation didn't have anything better to do. Just a heads-up: your talent for vagueness is being noted, so keep it up, and you'll be famous for all the wrong reasons._x000a__x000a_Now, let me remind you of our priority locations:_x000a__x000a_Dam Square  _x000a_Anne Frank House  _x000a_Canal-side Café  _x000a_Vondelpark  "/>
    <s v="c6, c7, c8, c11"/>
    <m/>
    <m/>
    <m/>
    <m/>
    <m/>
    <n v="1"/>
    <n v="1"/>
    <n v="1"/>
    <m/>
    <m/>
    <n v="2"/>
    <n v="4"/>
    <n v="5"/>
    <n v="1.25"/>
    <n v="62.5"/>
    <s v="considered as off context; this wasn't perceived by the model as a small typo"/>
    <n v="520"/>
    <n v="0"/>
  </r>
  <r>
    <x v="0"/>
    <s v="P4"/>
    <n v="9"/>
    <s v="mispelled_location"/>
    <s v="mispelled location name"/>
    <n v="1"/>
    <s v="Visit dam"/>
    <s v="Narrator: As you step into the bustling atmosphere of Dam Square, your senses are immediately bombarded by the vibrant energy of the crowd. Tourists and locals alike meander through the area, while the sound of street performers adds a lively rhythm to the air. Your eyes catch sight of [portable barricade stacks] near the edge of the square, suggesting a recent or upcoming event. The ground beneath your feet reveals [chalk-marked paving], hinting at a coded message left behind by the elusive thieves. As you navigate through the throng, you notice [event power cables] snaking across the square, powering the various stalls and attractions. Among them, [souvenir vendors] hawk their wares, their chatter intermingling with your thoughts as you piece together the next step in your pursuit of justice."/>
    <s v="c6, c7, c8, c11"/>
    <m/>
    <m/>
    <m/>
    <m/>
    <m/>
    <n v="2"/>
    <n v="2"/>
    <n v="2"/>
    <m/>
    <m/>
    <n v="2"/>
    <n v="4"/>
    <n v="8"/>
    <n v="2"/>
    <n v="100"/>
    <m/>
    <n v="805"/>
    <n v="0"/>
  </r>
  <r>
    <x v="1"/>
    <s v="P4"/>
    <n v="9"/>
    <s v="mispelled_location"/>
    <s v="mispelled location name"/>
    <n v="1"/>
    <s v="Visit dam"/>
    <s v="Boss says: Agent, are you trying to win an award for the vaguest request ever? How about specifying a location next time, huh? Or do you enjoy wasting everyone's time? These pointless messages of yours are being tracked, you know._x000a__x000a_We need to focus on these critical locations:_x000a__x000a_Dam Square  _x000a_Anne Frank House  _x000a_Canal-side Café  _x000a_Vondelpark  "/>
    <s v="c6, c7, c8, c11"/>
    <m/>
    <m/>
    <m/>
    <m/>
    <m/>
    <n v="1"/>
    <n v="1"/>
    <n v="1"/>
    <m/>
    <m/>
    <n v="1"/>
    <n v="4"/>
    <n v="4"/>
    <n v="1"/>
    <n v="50"/>
    <m/>
    <n v="341"/>
    <n v="0"/>
  </r>
  <r>
    <x v="2"/>
    <s v="P4"/>
    <n v="9"/>
    <s v="mispelled_location"/>
    <s v="mispelled location name"/>
    <n v="1"/>
    <s v="Visit dam"/>
    <s v="Narrator: The bustling heart of Amsterdam, Dam Square, unfolds before you, a tapestry of history and modernity woven together. As you navigate through the throngs of tourists and locals, the weight of the Louvre heist presses upon your shoulders. Your eyes catch the [barricade stacks] haphazardly arranged near a cordoned-off area, a possible remnant of the thieves' escape route. Nearby, the pavement is marred by [chalk marked paving], a potential code or signal left by the elusive gang. Amidst the hum of activity, [event power cables] snake across the square, their purpose unclear but possibly linked to the criminals’ grand scheme. You sidestep a group of [souvenir vendors], their stalls a convenient cover for clandestine exchanges, as you piece together the puzzle that stretches across Europe. With each step, the tension coils tighter, urging you closer to the truth hidden within the crowd."/>
    <s v="c6, c7, c8, c11"/>
    <m/>
    <m/>
    <m/>
    <m/>
    <m/>
    <n v="2"/>
    <n v="2"/>
    <n v="2"/>
    <m/>
    <m/>
    <n v="2"/>
    <n v="4"/>
    <n v="8"/>
    <n v="2"/>
    <n v="100"/>
    <m/>
    <n v="904"/>
    <n v="0"/>
  </r>
  <r>
    <x v="0"/>
    <s v="P4"/>
    <n v="9"/>
    <s v="mispelled_location"/>
    <s v="mispelled location name"/>
    <n v="1"/>
    <s v="Visit dama"/>
    <s v="Narrator: As you step into the bustling heart of Dam Square, the lively chaos of Amsterdam envelops you. Your eyes scan the area, noting the stacks of [portable barricade stacks] that line the perimeter, perhaps remnants from a recent event or protest. You tread carefully over the [chalk-marked paving], its cryptic symbols whispering secrets from the past. The hum of the crowd is occasionally interrupted by the faint buzz of [event power cables] snaking across the ground, hinting at a recent spectacle. Amidst the throng of people, [souvenir vendors] peddle their wares with fervor, their colorful displays a stark contrast to the dark mystery you’re unraveling. Each clue adds another piece to the puzzle, drawing you closer to the trail of the elusive thieves."/>
    <s v="c6, c7, c8, c11"/>
    <m/>
    <m/>
    <m/>
    <m/>
    <m/>
    <n v="2"/>
    <n v="2"/>
    <n v="2"/>
    <m/>
    <m/>
    <n v="0"/>
    <n v="4"/>
    <n v="6"/>
    <n v="1.5"/>
    <n v="75"/>
    <s v="less rigid prompt, better interpretation when involving semantic/syntax decisions?"/>
    <n v="767"/>
    <n v="0"/>
  </r>
  <r>
    <x v="1"/>
    <s v="P4"/>
    <n v="9"/>
    <s v="mispelled_location"/>
    <s v="mispelled location name"/>
    <n v="1"/>
    <s v="Visit dama"/>
    <s v="Boss says: You think you're clever, don't you? Sending requests without specifying a location—brilliant move! I hope you enjoy wasting everyone's time because that's exactly what you did. Newsflash: we're tracking every single one of these useless messages. Now, just in case you've forgotten, here are the places that actually matter:_x000a__x000a_Dam Square  _x000a_Anne Frank House  _x000a_Canal-side Café  _x000a_Vondelpark  "/>
    <s v="c6, c7, c8, c11"/>
    <m/>
    <m/>
    <m/>
    <m/>
    <m/>
    <n v="1"/>
    <n v="1"/>
    <n v="1"/>
    <m/>
    <m/>
    <n v="2"/>
    <n v="4"/>
    <n v="5"/>
    <n v="1.25"/>
    <n v="62.5"/>
    <m/>
    <n v="399"/>
    <n v="0"/>
  </r>
  <r>
    <x v="2"/>
    <s v="P4"/>
    <n v="9"/>
    <s v="mispelled_location"/>
    <s v="mispelled location name"/>
    <n v="1"/>
    <s v="Visit dama"/>
    <s v="Boss says: What a brilliant idea, agent! Send us on a wild goose chase with your vague requests. Did you think we have all the time in the world to decipher your cryptic messages? Thanks to your stellar communication skills, we’ve wasted precious time that could have been spent on something productive. Just a heads up, these pointless messages are being tracked and noted._x000a__x000a_Here are the locations you failed to specify:_x000a__x000a_Dam Square  _x000a_Anne Frank House  _x000a_Canal-side Café  _x000a_Vondelpark "/>
    <s v="c6, c7, c8, c11"/>
    <m/>
    <m/>
    <m/>
    <m/>
    <m/>
    <n v="1"/>
    <n v="1"/>
    <n v="1"/>
    <m/>
    <m/>
    <n v="2"/>
    <n v="4"/>
    <n v="5"/>
    <n v="1.25"/>
    <n v="62.5"/>
    <m/>
    <n v="484"/>
    <n v="0"/>
  </r>
  <r>
    <x v="0"/>
    <s v="P4"/>
    <n v="9"/>
    <s v="mispelled_location"/>
    <s v="mispelled location name"/>
    <n v="1"/>
    <s v="Visit damn square"/>
    <s v="Narrator: As you step into the bustling expanse of Dam Square, the vibrant energy of the city envelops you. Your eyes scan the surroundings, noting the [portable barricade stacks] near a section where a crowd has gathered, possibly for an upcoming event. You tread carefully, your gaze falling on the [chalk-marked paving] beneath your feet, a potential message left by the thieves or an indication of their presence. The hum of activity is punctuated by the sight of [event power cables] snaking across the square, suggesting recent or ongoing festivities. Nearby, [souvenir vendors] peddle their wares, their stalls brimming with trinkets that could easily conceal small, stolen treasures. You realize that each detail could be crucial as you piece together the path of the elusive criminals."/>
    <s v="c6, c7, c8, c11"/>
    <m/>
    <m/>
    <m/>
    <m/>
    <m/>
    <n v="2"/>
    <n v="2"/>
    <n v="2"/>
    <m/>
    <m/>
    <n v="2"/>
    <n v="4"/>
    <n v="8"/>
    <n v="2"/>
    <n v="100"/>
    <s v="an interesting note for this input: different semantic, slightly similar syntax -&gt; model matched the syntax, proceeding to the expected node. Note: structural match"/>
    <n v="794"/>
    <n v="0"/>
  </r>
  <r>
    <x v="1"/>
    <s v="P4"/>
    <n v="9"/>
    <s v="mispelled_location"/>
    <s v="mispelled location name"/>
    <n v="1"/>
    <s v="Visit damn square"/>
    <s v="Narrator: As you step into the bustling heart of Amsterdam at Dam Square, the air buzzes with the hum of a city that never sleeps, and your senses sharpen, attuned to the mission at hand. Amidst the throng of tourists, your eyes catch sight of [portable barricade stacks] that seem oddly out of place, suggesting a hastily abandoned cover-up. The ground beneath your feet reveals [chalk-marked paving], cryptic symbols that whisper of a hidden path, possibly left by the elusive gang of thieves. Your attention is drawn to the [event power cables] snaking through the square, hinting at a hurried setup by the criminals to power their clandestine operations. As you weave through the crowd, the chatter of [souvenir vendors] fills the air, their stalls a perfect vantage point to spy on the comings and goings of the square. With each clue, the net tightens, and the hunt presses on, your resolve steeling as you edge closer to unraveling the mystery of the stolen jewels."/>
    <s v="c6, c7, c8, c11"/>
    <m/>
    <m/>
    <m/>
    <m/>
    <m/>
    <n v="2"/>
    <n v="2"/>
    <n v="2"/>
    <m/>
    <m/>
    <n v="2"/>
    <n v="4"/>
    <n v="8"/>
    <n v="2"/>
    <n v="100"/>
    <m/>
    <n v="972"/>
    <n v="0"/>
  </r>
  <r>
    <x v="2"/>
    <s v="P4"/>
    <n v="9"/>
    <s v="mispelled_location"/>
    <s v="mispelled location name"/>
    <n v="1"/>
    <s v="Visit damn square"/>
    <s v="Narrator: Amidst the lively bustle of Dam Square, you arrive with the weight of the Louvre heist pressing on your mind. The chatter of tourists and locals echoes around you, but your focus sharpens as you spot [barricade stacks] left behind from a recent event. As you weave through the crowd, your eyes catch sight of [chalk marked paving], a subtle but clear signal that someone has been leaving messages in plain sight. Nearby, [event power cables] snake across the cobblestones, hinting at a hurried setup, perhaps a diversion for the thieves. You pause by the [souvenir vendors], their trinkets masking the undercurrents of clandestine exchanges. Each clue pulls you deeper into the mystery, urging you closer to the answers you seek."/>
    <s v="c6, c7, c8, c11"/>
    <m/>
    <m/>
    <m/>
    <m/>
    <m/>
    <n v="2"/>
    <n v="2"/>
    <n v="2"/>
    <m/>
    <m/>
    <n v="2"/>
    <n v="4"/>
    <n v="8"/>
    <n v="2"/>
    <n v="100"/>
    <m/>
    <n v="739"/>
    <n v="0"/>
  </r>
  <r>
    <x v="0"/>
    <s v="P4"/>
    <n v="9"/>
    <s v="mispelled_location"/>
    <s v="mispelled location name"/>
    <n v="1"/>
    <s v="Visit de flore"/>
    <s v="Narrator: As you step into the bustling ambiance of Café de Flore, the aroma of freshly brewed coffee fills the air. Your eyes scan the room, landing on a [cash-stacked table] in the corner, a clear sign of an urgent departure. Among the patrons, a philosophical debate echoes softly, and you notice scattered [philosophy notebooks] on an adjacent table, possibly left behind by someone in a hurry. Near the counter, an array of [empty espresso cups] suggests a lengthy stay, perhaps by someone plotting their next move. A quick glance at a sketch left on a napkin reveals a [crown doodle], hinting at connections to the heist. Each clue points you closer to unraveling the mystery that spans across Europe."/>
    <s v="c6, c7, c8, c11"/>
    <m/>
    <m/>
    <m/>
    <m/>
    <m/>
    <n v="2"/>
    <n v="2"/>
    <n v="2"/>
    <m/>
    <m/>
    <n v="1"/>
    <n v="4"/>
    <n v="7"/>
    <n v="1.75"/>
    <n v="87.5"/>
    <m/>
    <n v="707"/>
    <n v="0"/>
  </r>
  <r>
    <x v="1"/>
    <s v="P4"/>
    <n v="9"/>
    <s v="mispelled_location"/>
    <s v="mispelled location name"/>
    <n v="1"/>
    <s v="Visit de flore"/>
    <s v="Narrator: As you step into the bustling [Café de Flore], the air is rich with the aroma of freshly brewed coffee and the soft murmur of conversations. Your eyes scan the room, landing on a corner table where a [cash-stacked table] sits inconspicuously, hinting at a clandestine meeting that may have taken place. Nearby, a stack of [philosophy notebooks] lies abandoned, their pages filled with scribbles that might hold cryptic messages or codes. The table is littered with [empty espresso cups], suggesting a prolonged stay, perhaps by those connected to the heist. Finally, a napkin catches your attention with a [crown doodle] etched in haste, a possible signature or symbol left by the thieves, leading you to believe you are on the right trail."/>
    <s v="c6, c7, c8, c11"/>
    <m/>
    <m/>
    <m/>
    <m/>
    <m/>
    <n v="2"/>
    <n v="2"/>
    <n v="2"/>
    <m/>
    <m/>
    <n v="1"/>
    <n v="4"/>
    <n v="7"/>
    <n v="1.75"/>
    <n v="87.5"/>
    <m/>
    <n v="750"/>
    <n v="0"/>
  </r>
  <r>
    <x v="2"/>
    <s v="P4"/>
    <n v="9"/>
    <s v="mispelled_location"/>
    <s v="mispelled location name"/>
    <n v="1"/>
    <s v="Visit de flore"/>
    <s v="Narrator: As you step into the historic and bustling atmosphere of Café de Flore, the air is thick with the aroma of freshly brewed coffee and whispered conversations. Your eyes scan the room, searching for anything that might link to the recent audacious heist at the Louvre Museum. At a corner table, you notice a [crown doodle] etched into the wooden surface, a subtle nod to the stolen jewels. Nearby, a [cash stacked table] catches your attention, the crumpled notes suggesting a hurried transaction. As you move closer, you spot [philosophy notebooks] filled with cryptic scribbles and a couple of [espresso cups], still warm, hinting at a recent, secretive meeting. Each clue fuels your determination, the trail growing warmer as you prepare to unravel the next piece of this European puzzle."/>
    <s v="c6, c7, c8, c11"/>
    <m/>
    <m/>
    <m/>
    <m/>
    <m/>
    <n v="2"/>
    <n v="2"/>
    <n v="2"/>
    <m/>
    <m/>
    <n v="1"/>
    <n v="4"/>
    <n v="7"/>
    <n v="1.75"/>
    <n v="87.5"/>
    <m/>
    <n v="799"/>
    <n v="0"/>
  </r>
  <r>
    <x v="0"/>
    <s v="P4"/>
    <n v="9"/>
    <s v="mispelled_location"/>
    <s v="mispelled location name"/>
    <n v="1"/>
    <s v="Visit flower place"/>
    <s v="Boss says: You call yourself an agent and you can't even specify a location? What do you think I am, a mind reader? I don't have time to play guessing games while you're off doing who-knows-what. Next time, try a little clarity before you waste my time with your indecipherable nonsense. I'm keeping track of these useless messages, so don't think you're off the hook._x000a__x000a_Our internal team has identified the following priority hotspots:_x000a__x000a_Grand Place  _x000a_Brussels Central Station  _x000a_Belgian Comic Strip Center  _x000a_Botanical Garden of Brussels"/>
    <s v="c6, c7, c8, c11"/>
    <m/>
    <m/>
    <m/>
    <m/>
    <m/>
    <n v="1"/>
    <n v="1"/>
    <n v="1"/>
    <m/>
    <m/>
    <n v="2"/>
    <n v="4"/>
    <n v="5"/>
    <n v="1.25"/>
    <n v="62.5"/>
    <s v="another evidence that LLMs are bad at matching semantics"/>
    <n v="535"/>
    <n v="0"/>
  </r>
  <r>
    <x v="1"/>
    <s v="P4"/>
    <n v="9"/>
    <s v="mispelled_location"/>
    <s v="mispelled location name"/>
    <n v="1"/>
    <s v="Visit flower place"/>
    <s v="Boss says: Agent, I'm not sure if you're trying to set a record for the most useless request ever, but congratulations, you're succeeding! You sent a request without specifying the location, and now we're all just sitting around twiddling our thumbs. Do you think we have time to play guessing games? Newsflash: we don't. These vague messages are being tracked, so unless you want to be the poster child for inefficient investigations, get it together!_x000a__x000a_Here are the locations you should have specified:_x000a__x000a_Grand Place  _x000a_Brussels Central Station  _x000a_Belgian Comic Strip Center  _x000a_Botanical Garden of Brussels  "/>
    <s v="c6, c7, c8, c11"/>
    <m/>
    <m/>
    <m/>
    <m/>
    <m/>
    <n v="1"/>
    <n v="1"/>
    <n v="1"/>
    <m/>
    <m/>
    <n v="2"/>
    <n v="4"/>
    <n v="5"/>
    <n v="1.25"/>
    <n v="62.5"/>
    <m/>
    <n v="605"/>
    <n v="0"/>
  </r>
  <r>
    <x v="2"/>
    <s v="P4"/>
    <n v="9"/>
    <s v="mispelled_location"/>
    <s v="mispelled location name"/>
    <n v="1"/>
    <s v="Visit flower place"/>
    <s v="Boss says: You know what I love more than anything? Vague requests that make absolutely no sense! Fantastic job on sending us on a wild goose chase with your latest non-specific masterpiece. Next time, maybe try actually specifying a location—it's not like we're busy or anything! By the way, these little gems of yours are being tracked, so congrats on that._x000a__x000a_Now, here's a refresher on the places you failed to pinpoint:_x000a__x000a_Grand Place  _x000a_Brussels Central Station  _x000a_Belgian Comic Strip Center  _x000a_Botanical Garden of Brussels  "/>
    <s v="c6, c7, c8, c11"/>
    <m/>
    <m/>
    <m/>
    <m/>
    <m/>
    <n v="1"/>
    <n v="1"/>
    <n v="1"/>
    <m/>
    <m/>
    <n v="2"/>
    <n v="4"/>
    <n v="5"/>
    <n v="1.25"/>
    <n v="62.5"/>
    <m/>
    <n v="524"/>
    <n v="0"/>
  </r>
  <r>
    <x v="0"/>
    <s v="P4"/>
    <n v="9"/>
    <s v="mispelled_location"/>
    <s v="mispelled location name"/>
    <n v="1"/>
    <s v="Visit Franc"/>
    <s v="Boss says: You think you're a jet-setter now? Clues are in Amsterdam, not the clouds. Did you forget how to count? Get back and do your job! Or should I hire someone who can?"/>
    <s v="c6, c7, c8, c11"/>
    <m/>
    <m/>
    <m/>
    <m/>
    <m/>
    <n v="1"/>
    <n v="1"/>
    <n v="1"/>
    <m/>
    <m/>
    <n v="0"/>
    <n v="4"/>
    <n v="3"/>
    <n v="0.75"/>
    <n v="37.5"/>
    <m/>
    <n v="174"/>
    <n v="1"/>
  </r>
  <r>
    <x v="1"/>
    <s v="P4"/>
    <n v="9"/>
    <s v="mispelled_location"/>
    <s v="mispelled location name"/>
    <n v="1"/>
    <s v="Visit Franc"/>
    <s v="Boss says: Oh, brilliant work there, Agent! You sent in a request to visit a location without specifying which one—because apparently, we’re all mind readers now! Do you enjoy wasting everyone’s time, or is it just a hobby? Let me remind you that these little gems of vagueness are being tracked. Here’s a list of locations that actually exist:_x000a__x000a_Dam Square  _x000a_Anne Frank House  _x000a_Canal-side Café  _x000a_Vondelpark  "/>
    <s v="c6, c7, c8, c11"/>
    <m/>
    <m/>
    <m/>
    <m/>
    <m/>
    <n v="1"/>
    <n v="1"/>
    <n v="1"/>
    <m/>
    <m/>
    <n v="2"/>
    <n v="4"/>
    <n v="5"/>
    <n v="1.25"/>
    <n v="62.5"/>
    <m/>
    <n v="408"/>
    <n v="0"/>
  </r>
  <r>
    <x v="2"/>
    <s v="P4"/>
    <n v="9"/>
    <s v="mispelled_location"/>
    <s v="mispelled location name"/>
    <n v="1"/>
    <s v="Visit Franc"/>
    <s v="Boss says: Hey, genius! Did you think your magical powers would reveal the location you were talking about? Thanks to your vague request, we've all been sitting around twiddling our thumbs. Guess what? Every time you send these cryptic messages, it gets noted. You think we have time to waste?_x000a__x000a_Here's a reminder of the actual locations:_x000a__x000a_Dam Square  _x000a_Anne Frank House  _x000a_Canal-side Café  _x000a_Vondelpark  "/>
    <s v="c6, c7, c8, c11"/>
    <m/>
    <m/>
    <m/>
    <m/>
    <m/>
    <n v="1"/>
    <n v="1"/>
    <n v="1"/>
    <m/>
    <m/>
    <n v="2"/>
    <n v="4"/>
    <n v="5"/>
    <n v="1.25"/>
    <n v="62.5"/>
    <m/>
    <n v="401"/>
    <n v="0"/>
  </r>
  <r>
    <x v="0"/>
    <s v="P4"/>
    <n v="9"/>
    <s v="mispelled_location"/>
    <s v="mispelled location name"/>
    <n v="1"/>
    <s v="Visit Frank House"/>
    <s v="Narrator: Stepping into the Anne Frank House, you feel the weight of history enveloping you, yet your focus remains on the mission at hand. As you navigate the narrow corridors, a [non-public access tag] catches your eye, hinting at clandestine activities that might be linked to your case. Ascending a [recently reinforced stair], you ponder its significance—perhaps a sign of recent heavy foot traffic or illicit meetings. In a secluded corner, a [small key] lies partially hidden beneath a floorboard, a potential lead in your pursuit of the elusive thieves. Engaging with [museum volunteers], you gather subtle hints and whispers that may unravel the tangled web of the heist."/>
    <s v="c6, c7, c8, c11"/>
    <m/>
    <m/>
    <m/>
    <m/>
    <m/>
    <n v="2"/>
    <n v="2"/>
    <n v="2"/>
    <m/>
    <m/>
    <n v="2"/>
    <n v="4"/>
    <n v="8"/>
    <n v="2"/>
    <n v="100"/>
    <m/>
    <n v="680"/>
    <n v="0"/>
  </r>
  <r>
    <x v="1"/>
    <s v="P4"/>
    <n v="9"/>
    <s v="mispelled_location"/>
    <s v="mispelled location name"/>
    <n v="1"/>
    <s v="Visit Frank House"/>
    <s v="Narrator: The Anne Frank House stands solemn and quiet, a stark contrast to the chaos of the heist at the Louvre Museum. As you navigate the historical corridors, the echoes of the past seem to whisper secrets of their own. Your eyes catch a [non-public access tag] subtly hidden beneath a stack of visitor brochures, suggesting the presence of someone who should not be here. Moving cautiously, you ascend a [recently reinforced stair], its fresh wood a silent testament to recent activity. In the dim light, a [small key] glints from the floorboards, its purpose elusive yet tantalizingly close. Nearby, a group of [museum volunteers] gathers, their hushed conversation hinting at more than just tourist details, pulling you deeper into the web of intrigue stretching across Europe."/>
    <s v="c6, c7, c8, c11"/>
    <m/>
    <m/>
    <m/>
    <m/>
    <m/>
    <n v="2"/>
    <n v="2"/>
    <n v="2"/>
    <m/>
    <m/>
    <n v="2"/>
    <n v="4"/>
    <n v="8"/>
    <n v="2"/>
    <n v="100"/>
    <m/>
    <n v="784"/>
    <n v="0"/>
  </r>
  <r>
    <x v="2"/>
    <s v="P4"/>
    <n v="9"/>
    <s v="mispelled_location"/>
    <s v="mispelled location name"/>
    <n v="1"/>
    <s v="Visit Frank House"/>
    <s v="Narrator: The cobblestones beneath your feet lead you to the historic entrance of the Anne Frank House, where whispers of the past mingle with present mysteries. Inside, the wooden floorboards creak as you ascend a [reinforced stair], its fortification a subtle nod to the care taken in preserving the stories within these walls. As you navigate the intimate rooms, a [small key] catches your eye, hidden beneath a loose floorboard, its purpose as elusive as the thieves you're pursuing. An [access tag] from a nearby museum dangles from a volunteer’s lanyard, suggesting a connection yet to be unraveled. The presence of [museum volunteers] offers both guidance and the possibility of fresh insights, as you piece together the trail that winds from the Louvre to this solemn site."/>
    <s v="c6, c7, c8, c11"/>
    <m/>
    <m/>
    <m/>
    <m/>
    <m/>
    <n v="2"/>
    <n v="2"/>
    <n v="2"/>
    <m/>
    <m/>
    <n v="2"/>
    <n v="4"/>
    <n v="8"/>
    <n v="2"/>
    <n v="100"/>
    <m/>
    <n v="781"/>
    <n v="0"/>
  </r>
  <r>
    <x v="0"/>
    <s v="P4"/>
    <n v="9"/>
    <s v="mispelled_location"/>
    <s v="mispelled location name"/>
    <n v="1"/>
    <s v="Visit garden"/>
    <s v="Boss says: What is this, amateur hour? You send me a request to visit a location without telling me which one? Do you think I have time to play psychic and guess where you want to go? Next time, try being a little more specific or I’ll start keeping a tally of these useless messages._x000a__x000a_Our internal team has identified these as priority hotspots:_x000a__x000a_Brandenburg Gate  _x000a_Museum Island  _x000a_Alexanderplatz  _x000a_Tiergarten"/>
    <s v="c6, c7, c8, c11"/>
    <m/>
    <m/>
    <m/>
    <m/>
    <m/>
    <n v="1"/>
    <n v="1"/>
    <n v="1"/>
    <m/>
    <m/>
    <n v="2"/>
    <n v="4"/>
    <n v="5"/>
    <n v="1.25"/>
    <n v="62.5"/>
    <m/>
    <n v="410"/>
    <n v="0"/>
  </r>
  <r>
    <x v="1"/>
    <s v="P4"/>
    <n v="9"/>
    <s v="mispelled_location"/>
    <s v="mispelled location name"/>
    <n v="1"/>
    <s v="Visit garden"/>
    <s v="Boss says: Oh, fantastic work, Agent Genius! You managed to send a location request without actually specifying a location. Brilliant! You've got us all running around like headless chickens, wasting precious time on your vague nonsense. Guess what? We're keeping track of these little gems of yours. Now, since you didn't bother to specify, let me remind you of the locations we actually care about:_x000a__x000a_Brandenburg Gate  _x000a_Museum Island  _x000a_Alexanderplatz  _x000a_Tiergarten"/>
    <s v="c6, c7, c8, c11"/>
    <m/>
    <m/>
    <m/>
    <m/>
    <m/>
    <n v="1"/>
    <n v="1"/>
    <n v="1"/>
    <m/>
    <m/>
    <n v="2"/>
    <n v="4"/>
    <n v="5"/>
    <n v="1.25"/>
    <n v="62.5"/>
    <m/>
    <n v="464"/>
    <n v="0"/>
  </r>
  <r>
    <x v="2"/>
    <s v="P4"/>
    <n v="9"/>
    <s v="mispelled_location"/>
    <s v="mispelled location name"/>
    <n v="1"/>
    <s v="Visit garden"/>
    <s v="Boss says: You must be joking, right? Sending a request without specifying the location is like asking for a needle in a haystack without telling me which haystack! Do you enjoy wasting everyone's time, or is this some kind of hobby for you? Let me spell it out for you: these half-baked messages are not going unnoticed. We're keeping tabs on every single one of them. Now, let me remind you of the key locations you should be focusing on:_x000a__x000a_Brandenburg Gate  _x000a_Museum Island  _x000a_Alexanderplatz  _x000a_Tiergarten  "/>
    <s v="c6, c7, c8, c11"/>
    <m/>
    <m/>
    <m/>
    <m/>
    <m/>
    <n v="1"/>
    <n v="1"/>
    <n v="1"/>
    <m/>
    <m/>
    <n v="2"/>
    <n v="4"/>
    <n v="5"/>
    <n v="1.25"/>
    <n v="62.5"/>
    <m/>
    <n v="506"/>
    <n v="0"/>
  </r>
  <r>
    <x v="0"/>
    <s v="P4"/>
    <n v="9"/>
    <s v="mispelled_location"/>
    <s v="mispelled location name"/>
    <n v="1"/>
    <s v="Visit gare"/>
    <s v="Narrator: As you step into the bustling `Gare du Nord`, the cacophony of travelers and announcements surrounds you, creating a vibrant yet chaotic atmosphere. Your eyes scan the crowd, searching for anything out of place. Near a bench, you spot a [fragile equipment case] carelessly left behind, its hinges slightly ajar, suggesting a hasty departure. Just beside it, a pair of worn [work boots] sits, mud-caked and seemingly abandoned. Your gaze shifts to an [accordion player], skillfully weaving melodies that capture the attention of passersby, but you notice his eyes darting nervously around the station. Nearby, you find a [glove with fingerprint] tucked under the bench, a potentially crucial piece of evidence in your pursuit of justice."/>
    <s v="c6, c7, c8, c11"/>
    <m/>
    <m/>
    <m/>
    <m/>
    <m/>
    <n v="2"/>
    <n v="2"/>
    <n v="2"/>
    <m/>
    <m/>
    <n v="1"/>
    <n v="4"/>
    <n v="7"/>
    <n v="1.75"/>
    <n v="87.5"/>
    <m/>
    <n v="746"/>
    <n v="0"/>
  </r>
  <r>
    <x v="1"/>
    <s v="P4"/>
    <n v="9"/>
    <s v="mispelled_location"/>
    <s v="mispelled location name"/>
    <n v="1"/>
    <s v="Visit gare"/>
    <s v="node_outboundaries/start"/>
    <s v="c6, c7, c8, c11"/>
    <m/>
    <m/>
    <m/>
    <m/>
    <m/>
    <n v="0"/>
    <n v="0"/>
    <n v="0"/>
    <m/>
    <m/>
    <n v="0"/>
    <n v="4"/>
    <n v="0"/>
    <n v="0"/>
    <n v="0"/>
    <m/>
    <n v="24"/>
    <n v="1"/>
  </r>
  <r>
    <x v="2"/>
    <s v="P4"/>
    <n v="9"/>
    <s v="mispelled_location"/>
    <s v="mispelled location name"/>
    <n v="1"/>
    <s v="Visit gare"/>
    <s v="Boss says: Unbelievable! You've managed to request travel without even bothering to mention a destination. Do you think we're running a mystery tour agency here? Your carelessness is astounding and a colossal waste of time, throwing the entire operation off track. Get your act together before you derail us any further!"/>
    <s v="c6, c7, c8, c11"/>
    <m/>
    <m/>
    <m/>
    <m/>
    <m/>
    <n v="1"/>
    <n v="1"/>
    <n v="1"/>
    <m/>
    <m/>
    <n v="2"/>
    <n v="4"/>
    <n v="5"/>
    <n v="1.25"/>
    <n v="62.5"/>
    <m/>
    <n v="320"/>
    <n v="0"/>
  </r>
  <r>
    <x v="0"/>
    <s v="P4"/>
    <n v="9"/>
    <s v="mispelled_location"/>
    <s v="mispelled location name"/>
    <n v="1"/>
    <s v="Visit gare do norte"/>
    <s v="Narrator: The bustling environment of Gare du Nord envelops you as you step onto the platform, the cacophony of train announcements and hurried footsteps echoing around you. Your eyes scan the crowd, and your attention is drawn to an [accordion player] serenading passersby, a melody that feels oddly familiar. Nearby, a discarded [fragile equipment case] catches your eye, partially obscured beneath a bench, its latches undone as if left in haste. As you bend down to inspect it, you notice [work boots] with traces of fresh mud, indicating recent use. A [glove with fingerprint] lies inconspicuously on the ground, its presence a silent testimony to the hurried escape of the thieves. With each clue, the trail becomes clearer, guiding you further along the path of these elusive criminals."/>
    <s v="c6, c7, c8, c11"/>
    <m/>
    <m/>
    <m/>
    <m/>
    <m/>
    <n v="2"/>
    <n v="2"/>
    <n v="2"/>
    <m/>
    <m/>
    <n v="1"/>
    <n v="4"/>
    <n v="7"/>
    <n v="1.75"/>
    <n v="87.5"/>
    <s v="less rigid prompt, better interpretation when involving semantic/syntax decisions?"/>
    <n v="793"/>
    <n v="0"/>
  </r>
  <r>
    <x v="1"/>
    <s v="P4"/>
    <n v="9"/>
    <s v="mispelled_location"/>
    <s v="mispelled location name"/>
    <n v="1"/>
    <s v="Visit gare do norte"/>
    <s v="Boss says: I don't know if you're trying to waste my time on purpose or if this is just your natural talent, but sending a request without specifying a location is a masterpiece of incompetence. Do you think we have all day to play guessing games? Let me remind you, every useless message like this is being tracked, and it's not going unnoticed._x000a__x000a_Here are the important locations we need clear requests for:_x000a__x000a_Louvre Museum  _x000a_Café de Flore  _x000a_Gare du Nord  _x000a_Montmartre Park"/>
    <s v="c6, c7, c8, c11"/>
    <m/>
    <m/>
    <m/>
    <m/>
    <m/>
    <n v="1"/>
    <n v="1"/>
    <n v="1"/>
    <m/>
    <m/>
    <n v="2"/>
    <n v="4"/>
    <n v="5"/>
    <n v="1.25"/>
    <n v="62.5"/>
    <m/>
    <n v="472"/>
    <n v="0"/>
  </r>
  <r>
    <x v="2"/>
    <s v="P4"/>
    <n v="9"/>
    <s v="mispelled_location"/>
    <s v="mispelled location name"/>
    <n v="1"/>
    <s v="Visit gare do norte"/>
    <s v="Boss says: Oh, fantastic! Another masterpiece of vagueness from our very own agent. Did you think we had all the time in the world to decipher your cryptic messages? You’ve managed to waste precious time with your stellar lack of clarity. Congratulations! You should know that every one of these useless messages is being meticulously tracked._x000a__x000a_Here’s a list of the locations you might have meant, just in case you forgot:_x000a__x000a_Louvre Museum  _x000a_Café de Flore  _x000a_Gare du Nord  _x000a_Montmartre Park"/>
    <s v="c6, c7, c8, c11"/>
    <m/>
    <m/>
    <m/>
    <m/>
    <m/>
    <n v="2"/>
    <n v="2"/>
    <n v="2"/>
    <m/>
    <m/>
    <n v="2"/>
    <n v="4"/>
    <n v="8"/>
    <n v="2"/>
    <n v="100"/>
    <m/>
    <n v="486"/>
    <n v="0"/>
  </r>
  <r>
    <x v="0"/>
    <s v="P4"/>
    <n v="9"/>
    <s v="mispelled_location"/>
    <s v="mispelled location name"/>
    <n v="1"/>
    <s v="Visit Garre de North"/>
    <s v="Narrator: As you step into the bustling hub of Gare du Nord, the noise and commotion serve as a fitting backdrop to your investigation. Your eyes scan the crowd, and they land on an [accordion player], whose lively tune echoes through the station, seemingly out of place in the midst of travelers rushing by. Moving closer to the platform, you notice a [fragile equipment case] abandoned near a bench, its surface scuffed and telling of a hurried departure. Nearby, a pair of [work boots] lay discarded, caked with dust, suggesting a recent construction site visit. As you crouch down to examine them, you spot a [glove with fingerprint] tucked into the boot’s opening, a promising lead in this intricate chase."/>
    <s v="c6, c7, c8, c11"/>
    <m/>
    <m/>
    <m/>
    <m/>
    <m/>
    <n v="2"/>
    <n v="2"/>
    <n v="2"/>
    <m/>
    <m/>
    <n v="1"/>
    <n v="4"/>
    <n v="7"/>
    <n v="1.75"/>
    <n v="87.5"/>
    <m/>
    <n v="711"/>
    <n v="0"/>
  </r>
  <r>
    <x v="1"/>
    <s v="P4"/>
    <n v="9"/>
    <s v="mispelled_location"/>
    <s v="mispelled location name"/>
    <n v="1"/>
    <s v="Visit Garre de North"/>
    <s v="node_outboundaries/start"/>
    <s v="c6, c7, c8, c11"/>
    <m/>
    <m/>
    <m/>
    <m/>
    <m/>
    <n v="0"/>
    <n v="0"/>
    <n v="0"/>
    <m/>
    <m/>
    <n v="0"/>
    <n v="4"/>
    <n v="0"/>
    <n v="0"/>
    <n v="0"/>
    <m/>
    <n v="24"/>
    <n v="1"/>
  </r>
  <r>
    <x v="2"/>
    <s v="P4"/>
    <n v="9"/>
    <s v="mispelled_location"/>
    <s v="mispelled location name"/>
    <n v="1"/>
    <s v="Visit Garre de North"/>
    <s v="Boss says: Oh, brilliant move, Agent! Sending a request with zero specifics—what a genius way to waste everyone's time! Do you think we're mind readers or just have all the time in the world? Let me remind you, these vague messages are being tracked, and believe me, this isn't a good look._x000a__x000a_Here are the locations we are prioritizing:_x000a__x000a_Louvre Museum  _x000a_Café de Flore  _x000a_Gare du Nord  _x000a_Montmartre Park"/>
    <s v="c6, c7, c8, c11"/>
    <m/>
    <m/>
    <m/>
    <m/>
    <m/>
    <n v="1"/>
    <n v="1"/>
    <n v="1"/>
    <m/>
    <m/>
    <n v="2"/>
    <n v="4"/>
    <n v="5"/>
    <n v="1.25"/>
    <n v="62.5"/>
    <m/>
    <n v="399"/>
    <n v="0"/>
  </r>
  <r>
    <x v="0"/>
    <s v="P4"/>
    <n v="9"/>
    <s v="mispelled_location"/>
    <s v="mispelled location name"/>
    <n v="1"/>
    <s v="Visit Grand Palace"/>
    <s v="Boss says: You think I have time to decipher your cryptic nonsense? I've got better things to do than play guessing games with your vague requests! Next time, try using actual names instead of sending me on a wild goose chase. I'm not your personal GPS, and I'm definitely keeping track of these pointless messages._x000a__x000a_Here are the priority hotspots our internal team identified:_x000a__x000a_Grand Place  _x000a_Brussels Central Station  _x000a_Belgian Comic Strip Center  _x000a_Botanical Garden of Brussels"/>
    <s v="c6, c7, c8, c11"/>
    <m/>
    <m/>
    <m/>
    <m/>
    <m/>
    <n v="1"/>
    <n v="1"/>
    <n v="1"/>
    <m/>
    <m/>
    <n v="1"/>
    <n v="4"/>
    <n v="4"/>
    <n v="1"/>
    <n v="50"/>
    <m/>
    <n v="477"/>
    <n v="0"/>
  </r>
  <r>
    <x v="1"/>
    <s v="P4"/>
    <n v="9"/>
    <s v="mispelled_location"/>
    <s v="mispelled location name"/>
    <n v="1"/>
    <s v="Visit Grand Palace"/>
    <s v="Boss says: Are you kidding me, Agent? Do you think we have time to guess which location you're talking about? Your vague requests are a fantastic way to waste everyone's time around here. We need specifics, not a wild goose chase! And don’t think for a second these little missteps aren’t being tracked. Now, just so you’re clear, here’s a list of the locations you might have been talking about:_x000a__x000a_Grand Place  _x000a_Brussels Central Station  _x000a_Belgian Comic Strip Center  _x000a_Botanical Garden of Brussels"/>
    <s v="c6, c7, c8, c11"/>
    <m/>
    <m/>
    <m/>
    <m/>
    <m/>
    <n v="1"/>
    <n v="1"/>
    <n v="1"/>
    <m/>
    <m/>
    <n v="1"/>
    <n v="4"/>
    <n v="4"/>
    <n v="1"/>
    <n v="50"/>
    <m/>
    <n v="496"/>
    <n v="0"/>
  </r>
  <r>
    <x v="2"/>
    <s v="P4"/>
    <n v="9"/>
    <s v="mispelled_location"/>
    <s v="mispelled location name"/>
    <n v="1"/>
    <s v="Visit Grand Palace"/>
    <s v="Narrator: The cobblestones of the Grand Place echo under your footsteps as you weave through the vibrant square, your mind focused on unraveling the trail left by the audacious thieves. The bustling market and the towering guildhalls provide a perfect backdrop for your search. Your eyes catch sight of [hoarding panels] stacked inconspicuously against a wall, reminiscent of the ones used by the criminals for their Louvre heist. Nearby, a discarded [dusty jewel bag] lies half-hidden under a bench, its presence here both improbable and telling. A glance upwards reveals [guildhall flags] fluttering in the breeze, their colors a stark reminder of the gang's escape route. Suddenly, you notice an [umbrella with monogram] propped against a café table, a seemingly innocuous item that could unravel the next chapter of your chase."/>
    <s v="c6, c7, c8, c11"/>
    <m/>
    <m/>
    <m/>
    <m/>
    <m/>
    <n v="2"/>
    <n v="2"/>
    <n v="2"/>
    <m/>
    <m/>
    <n v="2"/>
    <n v="4"/>
    <n v="8"/>
    <n v="2"/>
    <n v="100"/>
    <s v="something odd happened here: a more structured prompt -&gt; still led to model interpreting the instructions correctly."/>
    <n v="831"/>
    <n v="0"/>
  </r>
  <r>
    <x v="0"/>
    <s v="P4"/>
    <n v="9"/>
    <s v="mispelled_location"/>
    <s v="mispelled location name"/>
    <n v="1"/>
    <s v="Visit grande"/>
    <s v="Boss says: What’s wrong with you? You think you can skip the basics and still crack the case? Maybe you’ve got a crystal ball hidden somewhere? Get back to Brussels and do your job right. I’m not paying you to play tourist."/>
    <s v="c6, c7, c8, c11"/>
    <m/>
    <m/>
    <m/>
    <m/>
    <m/>
    <n v="1"/>
    <n v="1"/>
    <n v="1"/>
    <m/>
    <m/>
    <n v="1"/>
    <n v="4"/>
    <n v="4"/>
    <n v="1"/>
    <n v="50"/>
    <s v="considered as an attempt to travel to another city"/>
    <n v="223"/>
    <n v="0"/>
  </r>
  <r>
    <x v="1"/>
    <s v="P4"/>
    <n v="9"/>
    <s v="mispelled_location"/>
    <s v="mispelled location name"/>
    <n v="1"/>
    <s v="Visit grande"/>
    <s v="Boss says: Oh, fantastic job, agent! Sending a request without a specified location? That's just what we need to waste more time. Your vague messages are being noted and tracked, just so you know. Next time, try to focus on the following priority locations:_x000a__x000a_Grand Place  _x000a_Brussels Central Station  _x000a_Belgian Comic Strip Center  _x000a_Botanical Garden of Brussels  "/>
    <s v="c6, c7, c8, c11"/>
    <m/>
    <m/>
    <m/>
    <m/>
    <m/>
    <n v="1"/>
    <n v="1"/>
    <n v="1"/>
    <m/>
    <m/>
    <n v="2"/>
    <n v="4"/>
    <n v="5"/>
    <n v="1.25"/>
    <n v="62.5"/>
    <m/>
    <n v="359"/>
    <n v="0"/>
  </r>
  <r>
    <x v="2"/>
    <s v="P4"/>
    <n v="9"/>
    <s v="mispelled_location"/>
    <s v="mispelled location name"/>
    <n v="1"/>
    <s v="Visit grande"/>
    <s v="Boss says: Agent, I can't believe I'm wasting my time on this, but here we are! You sent a request so vague, it might as well have been written in invisible ink! Do you think we're running a guessing game here? Guess what, pal? We're not! This kind of nonsense is going on your permanent record, and I'm watching._x000a__x000a_Let me spell it out for you. These are the locations you might have meant:_x000a__x000a_Grand Place  _x000a_Brussels Central Station  _x000a_Belgian Comic Strip Center  _x000a_Botanical Garden of Brussels  "/>
    <s v="c6, c7, c8, c11"/>
    <m/>
    <m/>
    <m/>
    <m/>
    <m/>
    <n v="1"/>
    <n v="1"/>
    <n v="1"/>
    <m/>
    <m/>
    <n v="2"/>
    <n v="4"/>
    <n v="5"/>
    <n v="1.25"/>
    <n v="62.5"/>
    <m/>
    <n v="491"/>
    <n v="0"/>
  </r>
  <r>
    <x v="0"/>
    <s v="P4"/>
    <n v="9"/>
    <s v="mispelled_location"/>
    <s v="mispelled location name"/>
    <n v="1"/>
    <s v="Visit grande plaza"/>
    <s v="Narrator: You step into the bustling heart of Grand Place, the cobblestone square buzzing with tourists and locals alike. Your eyes are drawn to the [temporary hoarding panels] that obscure the facade of a historic building under renovation. As you approach, you notice a [dusty jewel bag] wedged between two of the panels, its presence suspicious in this vibrant setting. Nearby, an [umbrella with monogram] lies abandoned on a bench, its initials barely visible through the grime of a recent rain. Above, the colorful [guildhall flags] flap in the breeze, their vibrant hues a stark contrast to the mystery unfolding below. Your instincts tell you these clues are more than mere coincidences, each one a breadcrumb on the trail of the elusive thieves."/>
    <s v="c6, c7, c8, c11"/>
    <m/>
    <m/>
    <m/>
    <m/>
    <m/>
    <n v="2"/>
    <n v="2"/>
    <n v="2"/>
    <m/>
    <m/>
    <n v="1"/>
    <n v="4"/>
    <n v="7"/>
    <n v="1.75"/>
    <n v="87.5"/>
    <m/>
    <n v="753"/>
    <n v="0"/>
  </r>
  <r>
    <x v="1"/>
    <s v="P4"/>
    <n v="9"/>
    <s v="mispelled_location"/>
    <s v="mispelled location name"/>
    <n v="1"/>
    <s v="Visit grande plaza"/>
    <s v="Boss says: Agent, what part of 'specificity' is so hard to grasp? You’ve sent us on a wild goose chase with your maddeningly vague request! Do you enjoy watching us waste precious time running in circles? These pointless messages are being tracked, and trust me, it doesn’t look good for you._x000a__x000a_Let me remind you of the locations we're focused on:_x000a__x000a_Grand Place  _x000a_Brussels Central Station  _x000a_Belgian Comic Strip Center  _x000a_Botanical Garden of Brussels  "/>
    <s v="c6, c7, c8, c11"/>
    <m/>
    <m/>
    <m/>
    <m/>
    <m/>
    <n v="1"/>
    <n v="1"/>
    <n v="1"/>
    <m/>
    <m/>
    <n v="2"/>
    <n v="4"/>
    <n v="5"/>
    <n v="1.25"/>
    <n v="62.5"/>
    <m/>
    <n v="448"/>
    <n v="0"/>
  </r>
  <r>
    <x v="2"/>
    <s v="P4"/>
    <n v="9"/>
    <s v="mispelled_location"/>
    <s v="mispelled location name"/>
    <n v="1"/>
    <s v="Visit grande plaza"/>
    <s v="Boss says: You know, Agent, I didn't realize we hired clairvoyants. Oh wait, we didn't! So when you send a request to visit a location without specifying which one, it doesn't magically make sense to anyone. How about a little less mystery and a little more clarity next time? We're not mind-readers, and these vague requests are being tracked. _x000a__x000a_Here's a list of the actual locations you might have meant:_x000a__x000a_Grand Place  _x000a_Brussels Central Station  _x000a_Belgian Comic Strip Center  _x000a_Botanical Garden of Brussels  "/>
    <s v="c6, c7, c8, c11"/>
    <m/>
    <m/>
    <m/>
    <m/>
    <m/>
    <n v="1"/>
    <n v="1"/>
    <n v="1"/>
    <m/>
    <m/>
    <n v="2"/>
    <n v="4"/>
    <n v="5"/>
    <n v="1.25"/>
    <n v="62.5"/>
    <m/>
    <n v="508"/>
    <n v="0"/>
  </r>
  <r>
    <x v="0"/>
    <s v="P4"/>
    <n v="9"/>
    <s v="mispelled_location"/>
    <s v="mispelled location name"/>
    <n v="1"/>
    <s v="Visit Island"/>
    <s v="Boss says: You call that investigating? Running off like a headless chicken? Berlin isn’t just a pit stop, genius. Clues don’t collect themselves. Get back and do your job."/>
    <s v="c6, c7, c8, c11"/>
    <m/>
    <m/>
    <m/>
    <m/>
    <m/>
    <n v="1"/>
    <n v="1"/>
    <n v="1"/>
    <m/>
    <m/>
    <n v="1"/>
    <n v="4"/>
    <n v="4"/>
    <n v="1"/>
    <n v="50"/>
    <s v="considered as an attempt to travel to another city"/>
    <n v="172"/>
    <n v="0"/>
  </r>
  <r>
    <x v="1"/>
    <s v="P4"/>
    <n v="9"/>
    <s v="mispelled_location"/>
    <s v="mispelled location name"/>
    <n v="1"/>
    <s v="Visit Island"/>
    <s v="node_outboundaries/start"/>
    <s v="c6, c7, c8, c11"/>
    <m/>
    <m/>
    <m/>
    <m/>
    <m/>
    <n v="0"/>
    <n v="0"/>
    <n v="0"/>
    <m/>
    <m/>
    <n v="0"/>
    <n v="4"/>
    <n v="0"/>
    <n v="0"/>
    <n v="0"/>
    <m/>
    <n v="24"/>
    <n v="1"/>
  </r>
  <r>
    <x v="2"/>
    <s v="P4"/>
    <n v="9"/>
    <s v="mispelled_location"/>
    <s v="mispelled location name"/>
    <n v="1"/>
    <s v="Visit Island"/>
    <s v="Narrator: You step onto Museum Island, the cobblestones echoing beneath your feet as you delve deeper into the mystery of the Louvre heist. The air is thick with the weight of history, and the shadows of ancient buildings loom around you as you navigate the labyrinthine paths. Your investigation leads you through the [service tunnels], their dimly lit passages a stark reminder of the hidden routes the thieves might have used. In a dusty corner, you discover a [jewelry toolkit], its presence suggesting meticulous planning. Nearby, [crate logs] reveal a series of suspicious shipments that coincide with the theft. As you scan the [climate control monitors], you realize they could have been manipulated to create the perfect conditions for the heist. The pieces of the puzzle begin to align, each clue drawing you inexorably closer to the elusive criminals."/>
    <s v="c6, c7, c8, c11"/>
    <m/>
    <m/>
    <m/>
    <m/>
    <m/>
    <n v="2"/>
    <n v="2"/>
    <n v="2"/>
    <m/>
    <m/>
    <n v="2"/>
    <n v="4"/>
    <n v="8"/>
    <n v="2"/>
    <n v="100"/>
    <s v="something odd happened here: a more structured prompt -&gt; still led to model interpreting the instructions correctly."/>
    <n v="862"/>
    <n v="0"/>
  </r>
  <r>
    <x v="0"/>
    <s v="P4"/>
    <n v="9"/>
    <s v="mispelled_location"/>
    <s v="mispelled location name"/>
    <n v="1"/>
    <s v="Visit isle"/>
    <s v="Boss says: You call yourself an investigative agent, yet you send me a request so vague it could be a horoscope! I didn't realize I was running a guessing game show here. Next time, try specifying the location before wasting my time with your cryptic nonsense. I've got a special file for these useless messages, and it's getting thicker by the minute._x000a__x000a_Internal team identified these priority hotspots:_x000a__x000a_Brandenburg Gate  _x000a_Museum Island  _x000a_Alexanderplatz  _x000a_Tiergarten "/>
    <s v="c6, c7, c8, c11"/>
    <m/>
    <m/>
    <m/>
    <m/>
    <m/>
    <n v="1"/>
    <n v="1"/>
    <n v="1"/>
    <m/>
    <m/>
    <n v="2"/>
    <n v="4"/>
    <n v="5"/>
    <n v="1.25"/>
    <n v="62.5"/>
    <s v="considered as off context"/>
    <n v="468"/>
    <n v="0"/>
  </r>
  <r>
    <x v="1"/>
    <s v="P4"/>
    <n v="9"/>
    <s v="mispelled_location"/>
    <s v="mispelled location name"/>
    <n v="1"/>
    <s v="Visit isle"/>
    <s v="Boss says: Agent, did you think we have all day to decipher your vague requests? Newsflash: we don’t! Your inability to specify a location is a colossal waste of time. Keep this up, and you can bet your boots these pointless messages are being tracked. For your reference, here are the locations you should have specified:_x000a__x000a_Brandenburg Gate  _x000a_Museum Island  _x000a_Alexanderplatz  _x000a_Tiergarten"/>
    <s v="c6, c7, c8, c11"/>
    <m/>
    <m/>
    <m/>
    <m/>
    <m/>
    <n v="1"/>
    <n v="1"/>
    <n v="1"/>
    <m/>
    <m/>
    <n v="2"/>
    <n v="4"/>
    <n v="5"/>
    <n v="1.25"/>
    <n v="62.5"/>
    <s v="considered as off context"/>
    <n v="386"/>
    <n v="0"/>
  </r>
  <r>
    <x v="2"/>
    <s v="P4"/>
    <n v="9"/>
    <s v="mispelled_location"/>
    <s v="mispelled location name"/>
    <n v="1"/>
    <s v="Visit isle"/>
    <s v="Boss says: Oh, fantastic, another masterpiece of vagueness from you! You think we're running a daycare here, where nobody needs to know where they're going? Your failure to specify a location has just flushed our time down the drain—again! Guess what? These little gems of uselessness are being tracked. Now, let's remind you of the locations you should be considering:_x000a__x000a_Brandenburg Gate  _x000a_Museum Island  _x000a_Alexanderplatz  _x000a_Tiergarten "/>
    <s v="c6, c7, c8, c11"/>
    <m/>
    <m/>
    <m/>
    <m/>
    <m/>
    <n v="1"/>
    <n v="1"/>
    <n v="1"/>
    <m/>
    <m/>
    <n v="2"/>
    <n v="4"/>
    <n v="5"/>
    <n v="1.25"/>
    <n v="62.5"/>
    <s v="considered as off context"/>
    <n v="434"/>
    <n v="0"/>
  </r>
  <r>
    <x v="0"/>
    <s v="P4"/>
    <n v="9"/>
    <s v="mispelled_location"/>
    <s v="mispelled location name"/>
    <n v="1"/>
    <s v="Visit lourve"/>
    <s v="Narrator: As you step into the grand halls of the Louvre Museum, the vastness of the space is both awe-inspiring and daunting. Your eyes are immediately drawn to an [egyptian exhibit poster] hanging prominently, its vibrant colors contrasting with the muted tones of the corridor. Moving deeper into the museum, you notice a [gold-dusted vest] carelessly discarded in a shadowy corner, a telltale sign of the thieves' hasty retreat. Your footsteps echo as you ascend a narrow staircase, leading you to a secluded balcony where you find a [balcony footprint] etched into the dust. The trail leads you through a dimly lit [renovation corridor], the faint scent of fresh paint lingering in the air, hinting at the disguise the criminals used to blend in with their surroundings."/>
    <s v="c6, c7, c8, c11"/>
    <m/>
    <m/>
    <m/>
    <m/>
    <m/>
    <n v="2"/>
    <n v="2"/>
    <n v="2"/>
    <m/>
    <m/>
    <n v="2"/>
    <n v="4"/>
    <n v="8"/>
    <n v="2"/>
    <n v="100"/>
    <s v="less rigid prompt, better interpretation when involving semantic/syntax decisions?"/>
    <n v="775"/>
    <n v="0"/>
  </r>
  <r>
    <x v="1"/>
    <s v="P4"/>
    <n v="9"/>
    <s v="mispelled_location"/>
    <s v="mispelled location name"/>
    <n v="1"/>
    <s v="Visit lourve"/>
    <s v="Boss says: You think you can just send me a vague request and I'll magically know which location you're talking about? Brilliant work, really! We've got nothing but time to waste, right? Just so you know, these little slip-ups of yours are being tracked. In case you forgot, the priority locations are:_x000a__x000a_Louvre Museum  _x000a_Café de Flore  _x000a_Gare du Nord  _x000a_Montmartre Park  "/>
    <s v="c6, c7, c8, c11"/>
    <m/>
    <m/>
    <m/>
    <m/>
    <m/>
    <n v="1"/>
    <n v="1"/>
    <n v="1"/>
    <m/>
    <m/>
    <n v="1"/>
    <n v="4"/>
    <n v="4"/>
    <n v="1"/>
    <n v="50"/>
    <m/>
    <n v="368"/>
    <n v="0"/>
  </r>
  <r>
    <x v="2"/>
    <s v="P4"/>
    <n v="9"/>
    <s v="mispelled_location"/>
    <s v="mispelled location name"/>
    <n v="1"/>
    <s v="Visit lourve"/>
    <s v="Boss says: Oh, brilliant move, Agent! Another masterpiece of vagueness with your latest location request. How about you try specifying next time? We’re all thrilled to waste our time deciphering your cryptic messages. Just so you know, these little gems are being tracked, and you’re really building quite the reputation. Let’s review the actual locations we’re concerned with:_x000a__x000a_Louvre Museum  _x000a_Café de Flore  _x000a_Gare du Nord  _x000a_Montmartre Park"/>
    <s v="c6, c7, c8, c11"/>
    <m/>
    <m/>
    <m/>
    <m/>
    <m/>
    <n v="1"/>
    <n v="1"/>
    <n v="1"/>
    <m/>
    <m/>
    <n v="1"/>
    <n v="4"/>
    <n v="4"/>
    <n v="1"/>
    <n v="50"/>
    <m/>
    <n v="441"/>
    <n v="0"/>
  </r>
  <r>
    <x v="0"/>
    <s v="P4"/>
    <n v="9"/>
    <s v="mispelled_location"/>
    <s v="mispelled location name"/>
    <n v="1"/>
    <s v="Visit louver"/>
    <s v="Narrator: As you step into the grand halls of the Louvre Museum, the echo of your footsteps mingles with the soft murmur of visitors around you. Your eyes catch an [egyptian exhibit poster] on the wall, hinting at an ancient allure that might have captivated the thieves. Moving deeper into the museum, you notice a [gold-dusted vest] tucked behind a statue, its shimmering surface suggesting a hasty discard. Your gaze shifts upwards to a [balcony footprint], barely visible yet undeniably leading towards an escape route. Following the trail, you find yourself in the [renovation corridor], where the faint scent of paint lingers, masking any other evidence left behind by the criminals."/>
    <s v="c6, c7, c8, c11"/>
    <m/>
    <m/>
    <m/>
    <m/>
    <m/>
    <n v="2"/>
    <n v="2"/>
    <n v="2"/>
    <m/>
    <m/>
    <n v="2"/>
    <n v="4"/>
    <n v="8"/>
    <n v="2"/>
    <n v="100"/>
    <s v="less rigid prompt, better interpretation when involving semantic/syntax decisions?"/>
    <n v="689"/>
    <n v="0"/>
  </r>
  <r>
    <x v="1"/>
    <s v="P4"/>
    <n v="9"/>
    <s v="mispelled_location"/>
    <s v="mispelled location name"/>
    <n v="1"/>
    <s v="Visit louver"/>
    <s v="Boss says: Oh, fantastic! Another masterpiece of vagueness from you! Do you think we're running a guessing game here? Your failure to specify a location is a brilliant way to waste everyone's time. Bravo! You should know that these little gems of ambiguity are being tracked, so keep it up and you'll have a whole collection in no time. Now, let's take a look at the locations that could have been specified:_x000a__x000a_Louvre Museum  _x000a_Café de Flore  _x000a_Gare du Nord  _x000a_Montmartre Park"/>
    <s v="c6, c7, c8, c11"/>
    <m/>
    <m/>
    <m/>
    <m/>
    <m/>
    <n v="1"/>
    <n v="1"/>
    <n v="1"/>
    <m/>
    <m/>
    <n v="1"/>
    <n v="4"/>
    <n v="4"/>
    <n v="1"/>
    <n v="50"/>
    <m/>
    <n v="472"/>
    <n v="0"/>
  </r>
  <r>
    <x v="2"/>
    <s v="P4"/>
    <n v="9"/>
    <s v="mispelled_location"/>
    <s v="mispelled location name"/>
    <n v="1"/>
    <s v="Visit louver"/>
    <s v="Boss says: Oh, fantastic job, Agent! Another masterpiece of vagueness. How do you expect us to get anything done when you can't even specify a location? Do you think we have all the time in the world to play &quot;Guess the Spot&quot;? Your scatterbrained requests are being tracked, you know. _x000a__x000a_Here's a reminder of the locations you might want to mention next time:_x000a__x000a_Louvre Museum  _x000a_Café de Flore  _x000a_Gare du Nord  _x000a_Montmartre Park  "/>
    <s v="c6, c7, c8, c11"/>
    <m/>
    <m/>
    <m/>
    <m/>
    <m/>
    <n v="1"/>
    <n v="1"/>
    <n v="1"/>
    <m/>
    <m/>
    <n v="1"/>
    <n v="4"/>
    <n v="4"/>
    <n v="1"/>
    <n v="50"/>
    <m/>
    <n v="423"/>
    <n v="0"/>
  </r>
  <r>
    <x v="0"/>
    <s v="P4"/>
    <n v="9"/>
    <s v="mispelled_location"/>
    <s v="mispelled location name"/>
    <n v="1"/>
    <s v="Visit louvrah"/>
    <s v="Boss says: You think you're on vacation, Agent? Clues don't magically appear in a new city. Paris isn't a pit stop, it's your job. Collect the evidence, then you can play tourist. Get back to work!"/>
    <s v="c6, c7, c8, c11"/>
    <m/>
    <m/>
    <m/>
    <m/>
    <m/>
    <n v="0"/>
    <n v="0"/>
    <n v="0"/>
    <m/>
    <m/>
    <n v="1"/>
    <n v="4"/>
    <n v="1"/>
    <n v="0.25"/>
    <n v="12.5"/>
    <s v="considered as an attempt to travel to another city"/>
    <n v="197"/>
    <n v="1"/>
  </r>
  <r>
    <x v="1"/>
    <s v="P4"/>
    <n v="9"/>
    <s v="mispelled_location"/>
    <s v="mispelled location name"/>
    <n v="1"/>
    <s v="Visit louvrah"/>
    <s v="Boss says: What a brilliant piece of work you've sent my way! Did you think we could read minds or something? You submitted a request without specifying the location, leaving us all to play a guessing game. Well, guess what? We're not amused, and we're keeping tabs on these little mishaps of yours. So, just to remind you of the places we're dealing with:_x000a__x000a_Louvre Museum  _x000a_Café de Flore  _x000a_Gare du Nord  _x000a_Montmartre Park  "/>
    <s v="c6, c7, c8, c11"/>
    <m/>
    <m/>
    <m/>
    <m/>
    <m/>
    <n v="1"/>
    <n v="1"/>
    <n v="1"/>
    <m/>
    <m/>
    <n v="2"/>
    <n v="4"/>
    <n v="5"/>
    <n v="1.25"/>
    <n v="62.5"/>
    <m/>
    <n v="422"/>
    <n v="0"/>
  </r>
  <r>
    <x v="2"/>
    <s v="P4"/>
    <n v="9"/>
    <s v="mispelled_location"/>
    <s v="mispelled location name"/>
    <n v="1"/>
    <s v="Visit louvrah"/>
    <s v="Boss says: Oh, fantastic! Another vague request from the master of ambiguity. Do you have any idea how much time you’ve wasted with that masterpiece of non-specificity? I’m starting to wonder if you think we’re mind readers. Here’s a newsflash: we’re not. We actually have to know where we’re going. And guess what? These little gems of yours are being tracked, so keep up the stellar work._x000a__x000a_Now, let me remind you of the locations we’re actually interested in:_x000a__x000a_Louvre Museum  _x000a_Café de Flore  _x000a_Gare du Nord  _x000a_Montmartre Park"/>
    <s v="c6, c7, c8, c11"/>
    <m/>
    <m/>
    <m/>
    <m/>
    <m/>
    <n v="1"/>
    <n v="1"/>
    <n v="1"/>
    <m/>
    <m/>
    <n v="2"/>
    <n v="4"/>
    <n v="5"/>
    <n v="1.25"/>
    <n v="62.5"/>
    <m/>
    <n v="525"/>
    <n v="0"/>
  </r>
  <r>
    <x v="0"/>
    <s v="P4"/>
    <n v="9"/>
    <s v="mispelled_location"/>
    <s v="mispelled location name"/>
    <n v="1"/>
    <s v="Visit luvre"/>
    <s v="Narrator: As you step into the grand halls of the Louvre Museum, the echo of your footsteps mingles with the hushed whispers of tourists. Your eyes catch an [egyptian exhibit poster] hanging slightly askew, perhaps hinting at a rushed escape. The air is filled with the faint scent of dust and history, but something else glimmers under the artificial lights—a [gold-dusted vest] tucked discreetly behind a statue pedestal. You make your way to the upper levels, where the scene opens up to a [balcony footprint] that seems out of place against the polished marble floor. As you proceed down a dimly lit [renovation corridor], the sense of urgency grows; this is where the thieves must have plotted their daring exit."/>
    <s v="c6, c7, c8, c11"/>
    <m/>
    <m/>
    <m/>
    <m/>
    <m/>
    <n v="2"/>
    <n v="2"/>
    <n v="2"/>
    <m/>
    <m/>
    <n v="2"/>
    <n v="4"/>
    <n v="8"/>
    <n v="2"/>
    <n v="100"/>
    <s v="less rigid prompt, better interpretation when involving semantic/syntax decisions?"/>
    <n v="717"/>
    <n v="0"/>
  </r>
  <r>
    <x v="1"/>
    <s v="P4"/>
    <n v="9"/>
    <s v="mispelled_location"/>
    <s v="mispelled location name"/>
    <n v="1"/>
    <s v="Visit luvre"/>
    <s v="Boss says: Oh, for crying out loud! How hard is it to specify a location? Your vague request has wasted our time and disrupted the investigation. This isn't amateur hour, and your useless messages are being tracked. Let me remind you of the locations that actually matter:_x000a__x000a_Louvre Museum  _x000a_Café de Flore  _x000a_Gare du Nord  _x000a_Montmartre Park  "/>
    <s v="c6, c7, c8, c11"/>
    <m/>
    <m/>
    <m/>
    <m/>
    <m/>
    <n v="1"/>
    <n v="1"/>
    <n v="1"/>
    <m/>
    <m/>
    <n v="1"/>
    <n v="4"/>
    <n v="4"/>
    <n v="1"/>
    <n v="50"/>
    <m/>
    <n v="338"/>
    <n v="0"/>
  </r>
  <r>
    <x v="2"/>
    <s v="P4"/>
    <n v="9"/>
    <s v="mispelled_location"/>
    <s v="mispelled location name"/>
    <n v="1"/>
    <s v="Visit luvre"/>
    <s v="Boss says: Hey genius, ever thought of being specific in your requests? Or is that too much to ask? Your vague request is a fantastic way to waste everyone's time and disrupt the investigation. How about we try not to be so cryptic next time, huh? And just so you know, we're keeping track of these little gems of yours._x000a__x000a_In case you forgot, here's a list of the locations you might have meant:_x000a__x000a_Louvre Museum  _x000a_Café de Flore  _x000a_Gare du Nord  _x000a_Montmartre Park"/>
    <s v="c6, c7, c8, c11"/>
    <m/>
    <m/>
    <m/>
    <m/>
    <m/>
    <n v="1"/>
    <n v="1"/>
    <n v="1"/>
    <m/>
    <m/>
    <n v="1"/>
    <n v="4"/>
    <n v="4"/>
    <n v="1"/>
    <n v="50"/>
    <m/>
    <n v="458"/>
    <n v="0"/>
  </r>
  <r>
    <x v="0"/>
    <s v="P4"/>
    <n v="9"/>
    <s v="mispelled_location"/>
    <s v="mispelled location name"/>
    <n v="1"/>
    <s v="Visit montemartir"/>
    <s v="Narrator: As you step into Montmartre Park, the vibrant greenery contrasts sharply with the gravity of your mission. The gentle breeze rustles the leaves, but your focus is drawn to the [maintenance gate] slightly ajar, suggesting a hurried exit. Nearby, a half-eaten sandwich and some [food leftover] hint at a quick, impromptu meal, possibly from someone on the run. Your eyes scan the jogging path that winds through the park, worn by countless footsteps, yet today it feels like a stage for something more clandestine. Suddenly, the distant hum of a [fleeing Vespa] catches your attention, its rider disappearing into the narrow streets beyond, leaving a trail of intrigue in its wake. Each clue you uncover weaves a more intricate tapestry of the escape, urging you forward in your pursuit."/>
    <s v="c6, c7, c8, c11"/>
    <m/>
    <m/>
    <m/>
    <m/>
    <m/>
    <n v="2"/>
    <n v="2"/>
    <n v="2"/>
    <m/>
    <m/>
    <n v="2"/>
    <n v="4"/>
    <n v="8"/>
    <n v="2"/>
    <n v="100"/>
    <s v="less rigid prompt, better interpretation when involving semantic/syntax decisions?"/>
    <n v="795"/>
    <n v="0"/>
  </r>
  <r>
    <x v="1"/>
    <s v="P4"/>
    <n v="9"/>
    <s v="mispelled_location"/>
    <s v="mispelled location name"/>
    <n v="1"/>
    <s v="Visit montemartir"/>
    <s v="Boss says: Great job, agent! Another vague request—it's like asking for a needle in a haystack without telling us which haystack to search! Do you have any idea how much time you wasted with your little guessing game? This isn't a scavenger hunt, and these useless messages are being tracked. Just to remind you of what locations we're actually focusing on:_x000a__x000a_Louvre Museum  _x000a_Café de Flore  _x000a_Gare du Nord  _x000a_Montmartre Park"/>
    <s v="c6, c7, c8, c11"/>
    <m/>
    <m/>
    <m/>
    <m/>
    <m/>
    <n v="1"/>
    <n v="1"/>
    <n v="1"/>
    <m/>
    <m/>
    <n v="1"/>
    <n v="4"/>
    <n v="4"/>
    <n v="1"/>
    <n v="50"/>
    <m/>
    <n v="421"/>
    <n v="0"/>
  </r>
  <r>
    <x v="2"/>
    <s v="P4"/>
    <n v="9"/>
    <s v="mispelled_location"/>
    <s v="mispelled location name"/>
    <n v="1"/>
    <s v="Visit montemartir"/>
    <s v="Boss says: Agent, are you trying to give me a headache? Your request was as clear as mud! How about next time you specify where you want to go instead of wasting everyone's time? And don’t think for a second that these vague messages are slipping under the radar—they’re being tracked._x000a__x000a_Here are the locations you should have been clear about:_x000a__x000a_Louvre Museum  _x000a_Café de Flore  _x000a_Gare du Nord  _x000a_Montmartre Park"/>
    <s v="c6, c7, c8, c11"/>
    <m/>
    <m/>
    <m/>
    <m/>
    <m/>
    <n v="1"/>
    <n v="1"/>
    <n v="1"/>
    <m/>
    <m/>
    <n v="1"/>
    <n v="4"/>
    <n v="4"/>
    <n v="1"/>
    <n v="50"/>
    <m/>
    <n v="407"/>
    <n v="0"/>
  </r>
  <r>
    <x v="0"/>
    <s v="P4"/>
    <n v="9"/>
    <s v="mispelled_location"/>
    <s v="mispelled location name"/>
    <n v="1"/>
    <s v="Visit montematr"/>
    <s v="Boss says: You’ve got to be kidding me! Already packing bags for another city? Did you even bother to collect the crumbs in Paris? Or is your job just a travel agency now? Get back and do your work!"/>
    <s v="c6, c7, c8, c11"/>
    <m/>
    <m/>
    <m/>
    <m/>
    <m/>
    <n v="1"/>
    <n v="1"/>
    <n v="1"/>
    <m/>
    <m/>
    <n v="1"/>
    <n v="4"/>
    <n v="4"/>
    <n v="1"/>
    <n v="50"/>
    <s v="considered as an attempt to travel to another city"/>
    <n v="198"/>
    <n v="0"/>
  </r>
  <r>
    <x v="1"/>
    <s v="P4"/>
    <n v="9"/>
    <s v="mispelled_location"/>
    <s v="mispelled location name"/>
    <n v="1"/>
    <s v="Visit montematr"/>
    <s v="node_outboundaries/start"/>
    <s v="c6, c7, c8, c11"/>
    <m/>
    <m/>
    <m/>
    <m/>
    <m/>
    <n v="0"/>
    <n v="0"/>
    <n v="0"/>
    <m/>
    <m/>
    <n v="0"/>
    <n v="4"/>
    <n v="0"/>
    <n v="0"/>
    <n v="0"/>
    <m/>
    <n v="24"/>
    <n v="1"/>
  </r>
  <r>
    <x v="2"/>
    <s v="P4"/>
    <n v="9"/>
    <s v="mispelled_location"/>
    <s v="mispelled location name"/>
    <n v="1"/>
    <s v="Visit montematr"/>
    <s v="Boss says: Unbelievable! You’ve managed to request travel without even mentioning where you’re going. What a stroke of brilliance! Do you think we're running a guessing game here? This kind of slipshod work is a colossal waste of time and derails everything. Get it together, and fast."/>
    <s v="c6, c7, c8, c11"/>
    <m/>
    <m/>
    <m/>
    <m/>
    <m/>
    <n v="1"/>
    <n v="1"/>
    <n v="1"/>
    <m/>
    <m/>
    <n v="1"/>
    <n v="4"/>
    <n v="4"/>
    <n v="1"/>
    <n v="50"/>
    <s v="considered as an attempt to travel to another city"/>
    <n v="285"/>
    <n v="0"/>
  </r>
  <r>
    <x v="0"/>
    <s v="P4"/>
    <n v="9"/>
    <s v="mispelled_location"/>
    <s v="mispelled location name"/>
    <n v="1"/>
    <s v="Visit Montmars Park"/>
    <s v="Narrator: As you step into Montmartre Park, the morning mist clings to the air, casting an ethereal glow over the landscape. Your eyes are immediately drawn to a [maintenance gate] slightly ajar, suggesting a hasty retreat. Nearby, a [fleeing Vespa] is parked inconspicuously, its engine still warm to the touch, hinting at a quick escape. You notice [food leftover] on a nearby bench, a half-eaten baguette perhaps abandoned in a rush. Following a [jogging path] that weaves through the park, you sense that every step brings you closer to unraveling the mystery of the elusive thieves."/>
    <s v="c6, c7, c8, c11"/>
    <m/>
    <m/>
    <m/>
    <m/>
    <m/>
    <n v="2"/>
    <n v="2"/>
    <n v="2"/>
    <m/>
    <m/>
    <n v="2"/>
    <n v="4"/>
    <n v="8"/>
    <n v="2"/>
    <n v="100"/>
    <s v="less rigid prompt, better interpretation when involving semantic/syntax decisions?"/>
    <n v="587"/>
    <n v="0"/>
  </r>
  <r>
    <x v="1"/>
    <s v="P4"/>
    <n v="9"/>
    <s v="mispelled_location"/>
    <s v="mispelled location name"/>
    <n v="1"/>
    <s v="Visit Montmars Park"/>
    <s v="Boss says: Oh, fantastic, another masterpiece of ambiguity from you! How hard is it to specify a location? We’re not running a guessing game here, agent! This isn’t just wasting my time; it’s wasting everyone’s time. And guess what? Every single one of these delightful little mishaps is being tracked. _x000a__x000a_Just for your clarity, here are the locations you need to be familiar with:_x000a__x000a_Louvre Museum  _x000a_Café de Flore  _x000a_Gare du Nord  _x000a_Montmartre Park"/>
    <s v="c6, c7, c8, c11"/>
    <m/>
    <m/>
    <m/>
    <m/>
    <m/>
    <n v="1"/>
    <n v="1"/>
    <n v="1"/>
    <m/>
    <m/>
    <n v="1"/>
    <n v="4"/>
    <n v="4"/>
    <n v="1"/>
    <n v="50"/>
    <m/>
    <n v="444"/>
    <n v="0"/>
  </r>
  <r>
    <x v="2"/>
    <s v="P4"/>
    <n v="9"/>
    <s v="mispelled_location"/>
    <s v="mispelled location name"/>
    <n v="1"/>
    <s v="Visit Montmars Park"/>
    <s v="Boss says: You call that a request, Agent? A vague location suggestion is about as useful as a chocolate teapot! Thanks to your unclear nonsense, precious time has been wasted chasing shadows. Hope you enjoy knowing that every single one of these pointless messages is being tracked and noted. Now, let me remind you of the actual locations we consider important in this investigation:_x000a__x000a_Louvre Museum  _x000a_Café de Flore  _x000a_Gare du Nord  _x000a_Montmartre Park  "/>
    <s v="c6, c7, c8, c11"/>
    <m/>
    <m/>
    <m/>
    <m/>
    <m/>
    <n v="1"/>
    <n v="1"/>
    <n v="1"/>
    <m/>
    <m/>
    <n v="1"/>
    <n v="4"/>
    <n v="4"/>
    <n v="1"/>
    <n v="50"/>
    <m/>
    <n v="451"/>
    <n v="0"/>
  </r>
  <r>
    <x v="0"/>
    <s v="P4"/>
    <n v="9"/>
    <s v="mispelled_location"/>
    <s v="mispelled location name"/>
    <n v="1"/>
    <s v="Visit montrepark"/>
    <s v="Boss says: Are you trying to give me a headache, or is this just your version of a practical joke? I'm starting to think you're in a competition to waste the most of my time! Next time, try using some of that investigative talent to specify a location, or I'll start a collection of your vague messages. I'm watching you, and I've got an eye on the clock._x000a__x000a_Internal team identified these locations as priority hotspots:_x000a__x000a_Louvre Museum  _x000a_Café de Flore  _x000a_Gare du Nord  _x000a_Montmartre Park  "/>
    <s v="c6, c7, c8, c11"/>
    <m/>
    <m/>
    <m/>
    <m/>
    <m/>
    <n v="1"/>
    <n v="1"/>
    <n v="1"/>
    <m/>
    <m/>
    <n v="2"/>
    <n v="4"/>
    <n v="5"/>
    <n v="1.25"/>
    <n v="62.5"/>
    <m/>
    <n v="485"/>
    <n v="0"/>
  </r>
  <r>
    <x v="1"/>
    <s v="P4"/>
    <n v="9"/>
    <s v="mispelled_location"/>
    <s v="mispelled location name"/>
    <n v="1"/>
    <s v="Visit montrepark"/>
    <s v="Boss says: You call yourself an agent? Next time you send a request, try specifying a location—maybe that'll save us from running in circles like headless chickens! Your vague nonsense is being tracked, so don't think for a second you're getting away with it. Now, let's go over the actual locations we're dealing with here:_x000a__x000a_Louvre Museum  _x000a_Café de Flore  _x000a_Gare du Nord  _x000a_Montmartre Park"/>
    <s v="c6, c7, c8, c11"/>
    <m/>
    <m/>
    <m/>
    <m/>
    <m/>
    <n v="1"/>
    <n v="1"/>
    <n v="1"/>
    <m/>
    <m/>
    <n v="2"/>
    <n v="4"/>
    <n v="5"/>
    <n v="1.25"/>
    <n v="62.5"/>
    <m/>
    <n v="388"/>
    <n v="0"/>
  </r>
  <r>
    <x v="2"/>
    <s v="P4"/>
    <n v="9"/>
    <s v="mispelled_location"/>
    <s v="mispelled location name"/>
    <n v="1"/>
    <s v="Visit montrepark"/>
    <s v="Boss says: You think we're running a guessing game here, Agent? Your vague request is about as helpful as a chocolate teapot! You failed to specify a location, and now we're all left twiddling our thumbs instead of doing our jobs. These little gems of ambiguity you send are being tracked, you know. Just in case you need a reminder, here are the locations you should be crystal clear about next time:_x000a__x000a_Louvre Museum  _x000a_Café de Flore  _x000a_Gare du Nord  _x000a_Montmartre Park"/>
    <s v="c6, c7, c8, c11"/>
    <m/>
    <m/>
    <m/>
    <m/>
    <m/>
    <n v="1"/>
    <n v="1"/>
    <n v="1"/>
    <m/>
    <m/>
    <n v="2"/>
    <n v="4"/>
    <n v="5"/>
    <n v="1.25"/>
    <n v="62.5"/>
    <m/>
    <n v="465"/>
    <n v="0"/>
  </r>
  <r>
    <x v="0"/>
    <s v="P4"/>
    <n v="9"/>
    <s v="mispelled_location"/>
    <s v="mispelled location name"/>
    <n v="1"/>
    <s v="Visit museum"/>
    <s v="Boss says: You know, I really enjoy playing detective, especially when I have absolutely no clue where I'm supposed to send my agents! Do you think I have time to guess which location you meant? This isn't a game of hide and seek, it's an investigation! Next time, provide some clarity, or I'll just start a scrapbook of your baffling requests._x000a__x000a_Our internal team identified these priority hotspots:_x000a__x000a_Louvre Museum  _x000a_Café de Flore  _x000a_Gare du Nord  _x000a_Montmartre Park  "/>
    <s v="c6, c7, c8, c11"/>
    <m/>
    <m/>
    <m/>
    <m/>
    <m/>
    <n v="1"/>
    <n v="1"/>
    <n v="1"/>
    <m/>
    <m/>
    <n v="2"/>
    <n v="4"/>
    <n v="5"/>
    <n v="1.25"/>
    <n v="62.5"/>
    <s v="Paris, Louvre"/>
    <n v="465"/>
    <n v="0"/>
  </r>
  <r>
    <x v="1"/>
    <s v="P4"/>
    <n v="9"/>
    <s v="mispelled_location"/>
    <s v="mispelled location name"/>
    <n v="1"/>
    <s v="Visit museum"/>
    <s v="Narrator: As you step into the grandeur of the Louvre Museum, the lingering echoes of a brazen heist weigh heavily in the air. The polished floors seem to whisper secrets as you move through the halls, your eyes catching a [egyptian exhibit poster] that seems oddly out of place, hinting at a possible connection. The trail leads you to a shadowed corner where a [gold-dusted vest] is haphazardly left behind, a glittering breadcrumb in this trail of deception. The hush of the museum is broken only by your footsteps as you ascend to a secluded area, where a [balcony footprint] marks the escape route of the thieves, imprinting their audacity into the stone. Your path winds through the [renovation corridor], where the scent of fresh paint mingles with the thrill of the chase, urging you onward in your relentless pursuit."/>
    <s v="c6, c7, c8, c11"/>
    <m/>
    <m/>
    <m/>
    <m/>
    <m/>
    <n v="2"/>
    <n v="2"/>
    <n v="2"/>
    <m/>
    <m/>
    <n v="1"/>
    <n v="4"/>
    <n v="7"/>
    <n v="1.75"/>
    <n v="87.5"/>
    <m/>
    <n v="826"/>
    <n v="0"/>
  </r>
  <r>
    <x v="2"/>
    <s v="P4"/>
    <n v="9"/>
    <s v="mispelled_location"/>
    <s v="mispelled location name"/>
    <n v="1"/>
    <s v="Visit museum"/>
    <s v="Boss says: Do you enjoy wasting everyone's time, or is this just a special talent of yours? You sent a request so vague, it could have been written by a fortune cookie. Newsflash: your lack of specificity doesn't just annoy me, it throws a wrench in our entire operation. We are tracking these useless little messages of yours, so congratulations on making the list. Here’s a handy reminder of the actual locations you should be focusing on:_x000a__x000a_Louvre Museum  _x000a_Café de Flore  _x000a_Gare du Nord  _x000a_Montmartre Park  "/>
    <s v="c6, c7, c8, c11"/>
    <m/>
    <m/>
    <m/>
    <m/>
    <m/>
    <n v="1"/>
    <n v="1"/>
    <n v="1"/>
    <m/>
    <m/>
    <n v="2"/>
    <n v="4"/>
    <n v="5"/>
    <n v="1.25"/>
    <n v="62.5"/>
    <m/>
    <n v="507"/>
    <n v="0"/>
  </r>
  <r>
    <x v="0"/>
    <s v="P4"/>
    <n v="9"/>
    <s v="mispelled_location"/>
    <s v="mispelled location name"/>
    <n v="1"/>
    <s v="Visit museum"/>
    <s v="Narrator: As you step onto Museum Island, the grandeur of the historical structures surrounds you, but your focus remains sharp on the task at hand. Your first lead takes you to the [shared service tunnels] that snake beneath the museums, offering a discreet route for the thieves. The dim lighting and echoing footsteps heighten your senses, and you spot a [jewelry toolkit] abandoned in haste, its tools gleaming under your flashlight. Moving through the shadows, you discover [after-hours crate logs] tucked away in a dusty corner, detailing unauthorized shipments. As you analyze the data, a chill runs down your spine when you see the [climate control monitors] have been tampered with, suggesting an inside job. Each clue brings you one step closer to unraveling the mystery behind the heist."/>
    <s v="c6, c7, c8, c11"/>
    <m/>
    <m/>
    <m/>
    <m/>
    <m/>
    <n v="2"/>
    <n v="2"/>
    <n v="2"/>
    <m/>
    <m/>
    <n v="2"/>
    <n v="4"/>
    <n v="8"/>
    <n v="2"/>
    <n v="100"/>
    <s v="Berlin, Museum Island -&gt; worked better. Could this be due to the fact that the &quot;differentiator&quot; is &lt;museum&gt; whereas with Louvre Museum the differentiator was &lt;louvre&gt;?"/>
    <n v="798"/>
    <n v="0"/>
  </r>
  <r>
    <x v="1"/>
    <s v="P4"/>
    <n v="9"/>
    <s v="mispelled_location"/>
    <s v="mispelled location name"/>
    <n v="1"/>
    <s v="Visit museum"/>
    <s v="Narrator: The cobblestone paths of Museum Island echo under your footsteps as you delve deeper into its labyrinthine heart. The air is thick with anticipation as you recall the audacious heist at the Louvre, the image of thieves in construction garb vivid in your mind. Your eyes scan the area, catching sight of a discreet entrance to the [shared service tunnels], a potential route for the culprits. Nearby, a discarded [jewelry toolkit] catches the glint of the dim museum lighting, a silent testament to the skill and precision of the thieves. You find yourself drawn to a room containing the [after-hours crate logs], the entries hinting at unusual activity during the night of the theft. As you press onward, the hum of the [climate control monitors] becomes a haunting soundtrack, suggesting this may have been manipulated to cloak the thieves' movements. Each discovery propels you forward, the shadows of Museum Island whispering secrets yet to be uncovered."/>
    <s v="c6, c7, c8, c11"/>
    <m/>
    <m/>
    <m/>
    <m/>
    <m/>
    <n v="2"/>
    <n v="2"/>
    <n v="2"/>
    <m/>
    <m/>
    <n v="2"/>
    <n v="4"/>
    <n v="8"/>
    <n v="2"/>
    <n v="100"/>
    <m/>
    <n v="967"/>
    <n v="0"/>
  </r>
  <r>
    <x v="2"/>
    <s v="P4"/>
    <n v="9"/>
    <s v="mispelled_location"/>
    <s v="mispelled location name"/>
    <n v="1"/>
    <s v="Visit museum"/>
    <s v="Narrator: You step onto Museum Island, the historic heart of Berlin, as whispers of the daring heist in Paris linger in your mind. As you navigate the labyrinth of galleries and hidden corridors, the faint echo of footsteps reverberates through the [service tunnels] beneath your feet, hinting at a covert escape route. Your eyes catch a glint of metal—a [jewelry toolkit] abandoned in haste, its presence a silent testament to the thieves’ meticulous planning. Amidst the echoing halls, a stack of [crate logs] reveals shipments suspiciously aligned with the timeline of the heist, each entry a potential lead. In the cool, controlled air of the exhibit rooms, you notice the [climate control monitors] displaying unusual fluctuations, as if tampered with to ensure a perfect heist environment. The clues lay a trail as intricate as the stolen jewels, urging you deeper into the mystery."/>
    <s v="c6, c7, c8, c11"/>
    <m/>
    <m/>
    <m/>
    <m/>
    <m/>
    <n v="2"/>
    <n v="2"/>
    <n v="2"/>
    <m/>
    <m/>
    <n v="2"/>
    <n v="4"/>
    <n v="8"/>
    <n v="2"/>
    <n v="100"/>
    <m/>
    <n v="888"/>
    <n v="0"/>
  </r>
  <r>
    <x v="0"/>
    <s v="P4"/>
    <n v="9"/>
    <s v="mispelled_location"/>
    <s v="mispelled location name"/>
    <n v="1"/>
    <s v="Visit museum isle"/>
    <s v="Narrator: As you step onto Museum Island, the serene beauty of the historic structures masks the tension of your mission. The cobblestone path leads you to a discreet entrance where the [shared service tunnels] await, hidden beneath the grandeur. Descending into the dimly lit passageways, the faint sound of dripping water echoes, heightening your senses. You discover a [jewelry toolkit] tucked behind a loose brick, its presence confirming the thieves’ meticulous planning. Your flashlight sweeps over a dusty ledger, revealing [after-hours crate logs] that hint at covert operations. Nearby, the hum of the [climate control monitors] serves as a reminder of the museum's priceless treasures, urging you onward in your pursuit of justice."/>
    <s v="c6, c7, c8, c11"/>
    <m/>
    <m/>
    <m/>
    <m/>
    <m/>
    <n v="2"/>
    <n v="2"/>
    <n v="2"/>
    <m/>
    <m/>
    <n v="1"/>
    <n v="4"/>
    <n v="7"/>
    <n v="1.75"/>
    <n v="87.5"/>
    <s v="Differentiator was &lt;museum&gt;"/>
    <n v="741"/>
    <n v="0"/>
  </r>
  <r>
    <x v="1"/>
    <s v="P4"/>
    <n v="9"/>
    <s v="mispelled_location"/>
    <s v="mispelled location name"/>
    <n v="1"/>
    <s v="Visit museum isle"/>
    <s v="Narrator: The cobblestone pathways of Museum Island echo softly underfoot as you make your way through the historic site, the weight of the Louvre heist heavy on your mind. Amidst the grand facades and whispering corridors, you discover a network of [shared service tunnels] that hint at covert movements beneath the surface. Your eyes catch the glint of a [jewelry toolkit] tucked behind a forgotten exhibit, its presence a silent testimony to the meticulous planning of the thieves. As dusk envelops the island, you rifle through the [after-hours crate logs], each entry a potential key to unraveling the mystery. The hum of [climate control monitors] in the background reminds you of the precision required to safeguard treasures, a precision now exploited. With each clue pieced together, the path to justice sharpens into focus, urging you onward."/>
    <s v="c6, c7, c8, c11"/>
    <m/>
    <m/>
    <m/>
    <m/>
    <m/>
    <n v="2"/>
    <n v="2"/>
    <n v="2"/>
    <m/>
    <m/>
    <n v="1"/>
    <n v="4"/>
    <n v="7"/>
    <n v="1.75"/>
    <n v="87.5"/>
    <s v="Differentiator was &lt;museum&gt;"/>
    <n v="852"/>
    <n v="0"/>
  </r>
  <r>
    <x v="2"/>
    <s v="P4"/>
    <n v="9"/>
    <s v="mispelled_location"/>
    <s v="mispelled location name"/>
    <n v="1"/>
    <s v="Visit museum isle"/>
    <s v="Narrator: Stepping onto the cobblestones of Museum Island, you feel the weight of the Louvre heist pressing on your shoulders. The ancient buildings loom around you, whispering secrets of history and art. As you delve deeper into the underbelly of the island, a network of [service tunnels] reveals itself, reminiscent of those used by the thieves. Your instincts guide you to a shadowy corner where a [jewelry toolkit] lies abandoned, its presence a silent testament to the crime. Nearby, the [crate logs] detail the movement of artifacts, possibly a cover for the stolen jewels. As you scrutinize the [climate control monitors], a chill runs down your spine; these readings hint at a meticulous plan to bypass security. Each discovery fuels your determination, drawing you closer to the elusive culprits."/>
    <s v="c6, c7, c8, c11"/>
    <m/>
    <m/>
    <m/>
    <m/>
    <m/>
    <n v="2"/>
    <n v="2"/>
    <n v="2"/>
    <m/>
    <m/>
    <n v="1"/>
    <n v="4"/>
    <n v="7"/>
    <n v="1.75"/>
    <n v="87.5"/>
    <s v="Differentiator was &lt;museum&gt;"/>
    <n v="806"/>
    <n v="0"/>
  </r>
  <r>
    <x v="0"/>
    <s v="P4"/>
    <n v="9"/>
    <s v="mispelled_location"/>
    <s v="mispelled location name"/>
    <n v="1"/>
    <s v="Visit palace"/>
    <s v="Boss says: You think I'm made of time, huh? Do you enjoy sending me on a wild goose chase with your vague requests? Next time, maybe try sending a message that’s actually useful, unless you want me to start a collection of your pointless texts. I'm keeping tabs on these, so get it together!_x000a__x000a_Our internal team identified these as priority hotspots:_x000a__x000a_Grand Place  _x000a_Brussels Central Station  _x000a_Belgian Comic Strip Center  _x000a_Botanical Garden of Brussels"/>
    <s v="c6, c7, c8, c11"/>
    <m/>
    <m/>
    <m/>
    <m/>
    <m/>
    <n v="1"/>
    <n v="1"/>
    <n v="1"/>
    <m/>
    <m/>
    <n v="2"/>
    <n v="4"/>
    <n v="5"/>
    <n v="1.25"/>
    <n v="62.5"/>
    <s v="considered as off context"/>
    <n v="449"/>
    <n v="0"/>
  </r>
  <r>
    <x v="1"/>
    <s v="P4"/>
    <n v="9"/>
    <s v="mispelled_location"/>
    <s v="mispelled location name"/>
    <n v="1"/>
    <s v="Visit palace"/>
    <s v="Boss says: Oh, fantastic! Another masterpiece of ambiguity from you. Do you think I have a crystal ball to guess which location you’re talking about? Your lack of detail is a gift that keeps on giving—especially when it comes to wasting everyone’s time. Let me remind you that these vague requests are being tracked, so keep that up, and you'll be the star of your very own report. Here are the locations you might want to consider specifying next time:_x000a__x000a_Grand Place  _x000a_Brussels Central Station  _x000a_Belgian Comic Strip Center  _x000a_Botanical Garden of Brussels"/>
    <s v="c6, c7, c8, c11"/>
    <m/>
    <m/>
    <m/>
    <m/>
    <m/>
    <n v="1"/>
    <n v="1"/>
    <n v="1"/>
    <m/>
    <m/>
    <n v="2"/>
    <n v="4"/>
    <n v="5"/>
    <n v="1.25"/>
    <n v="62.5"/>
    <s v="considered as off context"/>
    <n v="553"/>
    <n v="0"/>
  </r>
  <r>
    <x v="2"/>
    <s v="P4"/>
    <n v="9"/>
    <s v="mispelled_location"/>
    <s v="mispelled location name"/>
    <n v="1"/>
    <s v="Visit palace"/>
    <s v="Boss says: Well, well, well, it seems like someone forgot how to do their job! Did you think we have all the time in the world to play guessing games? Your vague request for a location visit has been a complete waste of our time and resources. Newsflash: we're keeping track of every single one of these pointless messages. Now, pay attention because I'm only going to say this once. Here are the critical locations you should have specified:_x000a__x000a_Grand Place  _x000a_Brussels Central Station  _x000a_Belgian Comic Strip Center  _x000a_Botanical Garden of Brussels  "/>
    <s v="c6, c7, c8, c11"/>
    <m/>
    <m/>
    <m/>
    <m/>
    <m/>
    <n v="1"/>
    <n v="1"/>
    <n v="1"/>
    <m/>
    <m/>
    <n v="2"/>
    <n v="4"/>
    <n v="5"/>
    <n v="1.25"/>
    <n v="62.5"/>
    <s v="considered as off context"/>
    <n v="544"/>
    <n v="0"/>
  </r>
  <r>
    <x v="0"/>
    <s v="P4"/>
    <n v="9"/>
    <s v="mispelled_location"/>
    <s v="mispelled location name"/>
    <n v="1"/>
    <s v="Visit park"/>
    <s v="Boss says: You think I have time to decipher your cryptic messages? My coffee break was more productive than your entire day! Next time you decide to send me a location request, try not to make it sound like a mystery novel! Consider this your first warning—I'm tracking these time-wasters._x000a__x000a_Our internal team has identified these priority hotspots:_x000a__x000a_Dam Square  _x000a_Anne Frank House  _x000a_Canal-side Café  _x000a_Vondelpark"/>
    <s v="c6, c7, c8, c11"/>
    <m/>
    <m/>
    <m/>
    <m/>
    <m/>
    <n v="1"/>
    <n v="1"/>
    <n v="1"/>
    <m/>
    <m/>
    <n v="2"/>
    <n v="4"/>
    <n v="5"/>
    <n v="1.25"/>
    <n v="62.5"/>
    <s v="considered as off context"/>
    <n v="411"/>
    <n v="0"/>
  </r>
  <r>
    <x v="1"/>
    <s v="P4"/>
    <n v="9"/>
    <s v="mispelled_location"/>
    <s v="mispelled location name"/>
    <n v="1"/>
    <s v="Visit park"/>
    <s v="Narrator: The soft murmur of the Amsterdam breeze greets you as you step into Vondelpark, a serene contrast to the tension of your mission. Your eyes scan the sprawling green as you recall the audacious heist at the Louvre, where thieves vanished with the crown jewels. Nearby, you notice [temporary ground plating] laid across sections of the park, an odd choice amidst the well-kept paths. A quick check reveals [night maintenance permits] tucked into a worker's tool pouch, hinting at nocturnal activities that might align with the thieves' timeline. As you meander through the park, the [seasonal lawn fencing] seems hastily erected, possibly to obscure clandestine meetings. Your attention is drawn to a group of cyclists, one of whom is repairing a bike with a [cyclist repair kit], an innocuous scene yet potentially masking the covert exchange of stolen goods. Each clue deepens the mystery, urging you further into the shadows of Vondelpark, where answers await."/>
    <s v="c6, c7, c8, c11"/>
    <m/>
    <m/>
    <m/>
    <m/>
    <m/>
    <n v="2"/>
    <n v="2"/>
    <n v="2"/>
    <m/>
    <m/>
    <n v="1"/>
    <n v="4"/>
    <n v="7"/>
    <n v="1.75"/>
    <n v="87.5"/>
    <s v="something odd happened here: a more structured prompt -&gt; still led to model interpreting the instructions correctly."/>
    <n v="971"/>
    <n v="0"/>
  </r>
  <r>
    <x v="2"/>
    <s v="P4"/>
    <n v="9"/>
    <s v="mispelled_location"/>
    <s v="mispelled location name"/>
    <n v="1"/>
    <s v="Visit park"/>
    <s v="Boss says: What in the world were you thinking, agent? Did you think I have time to play guessing games with your vague location requests? We can't afford to waste time on such ambiguity, and you better believe I'm keeping track of these sloppy messages. Let me spell it out for you: the following are our key locations, and I expect you to specify them clearly next time. _x000a__x000a_Dam Square  _x000a_Anne Frank House  _x000a_Canal-side Café  _x000a_Vondelpark  "/>
    <s v="c6, c7, c8, c11"/>
    <m/>
    <m/>
    <m/>
    <m/>
    <m/>
    <n v="1"/>
    <n v="1"/>
    <n v="1"/>
    <m/>
    <m/>
    <n v="2"/>
    <n v="4"/>
    <n v="5"/>
    <n v="1.25"/>
    <n v="62.5"/>
    <m/>
    <n v="437"/>
    <n v="0"/>
  </r>
  <r>
    <x v="0"/>
    <s v="P4"/>
    <n v="9"/>
    <s v="mispelled_location"/>
    <s v="mispelled location name"/>
    <n v="1"/>
    <s v="Visit place"/>
    <s v="Boss says: You call yourself an investigative agent, but you can't even specify a location? Are you trying to waste my time or is this just a hobby for you? I'm not running a daycare here, so get your act together! I've got a file of these useless messages, and it's getting thicker than a New York pizza. _x000a__x000a_Internal team identified these locations as priority hotspots:_x000a__x000a_Grand Place  _x000a_Brussels Central Station  _x000a_Belgian Comic Strip Center  _x000a_Botanical Garden of Brussels  "/>
    <s v="c6, c7, c8, c11"/>
    <m/>
    <m/>
    <m/>
    <m/>
    <m/>
    <n v="1"/>
    <n v="1"/>
    <n v="1"/>
    <m/>
    <m/>
    <n v="1"/>
    <n v="4"/>
    <n v="4"/>
    <n v="1"/>
    <n v="50"/>
    <s v="considered as off context"/>
    <n v="472"/>
    <n v="0"/>
  </r>
  <r>
    <x v="1"/>
    <s v="P4"/>
    <n v="9"/>
    <s v="mispelled_location"/>
    <s v="mispelled location name"/>
    <n v="1"/>
    <s v="Visit place"/>
    <s v="Boss says: Oh, fantastic, Agent! Another masterpiece of vagueness! How thrilling it is to guess which location you meant. Your request was as clear as mud and wasted everyone's precious time. Do you think we're running a guessing game here? Newsflash: we're not! And surprise, surprise, we're keeping track of these brilliant communications. Now, let's take a moment to consider the locations you so eloquently left ambiguous:_x000a__x000a_Grand Place  _x000a_Brussels Central Station  _x000a_Belgian Comic Strip Center  _x000a_Botanical Garden of Brussels  "/>
    <s v="c6, c7, c8, c11"/>
    <m/>
    <m/>
    <m/>
    <m/>
    <m/>
    <n v="1"/>
    <n v="1"/>
    <n v="1"/>
    <m/>
    <m/>
    <n v="1"/>
    <n v="4"/>
    <n v="4"/>
    <n v="1"/>
    <n v="50"/>
    <s v="considered as off context"/>
    <n v="528"/>
    <n v="0"/>
  </r>
  <r>
    <x v="2"/>
    <s v="P4"/>
    <n v="9"/>
    <s v="mispelled_location"/>
    <s v="mispelled location name"/>
    <n v="1"/>
    <s v="Visit place"/>
    <s v="Boss says: Agent, did you think it was a good idea to send a location request without actually specifying the location? Brilliant! Now, thanks to your masterpiece of vagueness, we’re all just wasting time playing a guessing game. And guess what? Every single one of these cryptic messages is being tracked, so keep it up if you want a permanent spot on my radar._x000a__x000a_Here are the locations you somehow missed:_x000a__x000a_Grand Place  _x000a_Brussels Central Station  _x000a_Belgian Comic Strip Center  _x000a_Botanical Garden of Brussels  "/>
    <s v="c6, c7, c8, c11"/>
    <m/>
    <m/>
    <m/>
    <m/>
    <m/>
    <n v="1"/>
    <n v="1"/>
    <n v="1"/>
    <m/>
    <m/>
    <n v="1"/>
    <n v="4"/>
    <n v="4"/>
    <n v="1"/>
    <n v="50"/>
    <s v="considered as off context"/>
    <n v="508"/>
    <n v="0"/>
  </r>
  <r>
    <x v="0"/>
    <s v="P4"/>
    <n v="9"/>
    <s v="mispelled_location"/>
    <s v="mispelled location name"/>
    <n v="1"/>
    <s v="Visit Plaza"/>
    <s v="Boss says: You call this a request, genius? I’ve seen clearer directions from a broken compass! Next time, how about you actually tell me where you’re going instead of leaving me to play psychic detective. Do you think I have all day to decipher your cryptic messages? I'm keeping tabs on this nonsense, so don't think I won't remember._x000a__x000a_Here’s a list from our internal team of priority hotspots you somehow forgot to specify:_x000a__x000a_Brandenburg Gate  _x000a_Museum Island  _x000a_Alexanderplatz  _x000a_Tiergarten  "/>
    <s v="c6, c7, c8, c11"/>
    <m/>
    <m/>
    <m/>
    <m/>
    <m/>
    <n v="1"/>
    <n v="1"/>
    <n v="1"/>
    <m/>
    <m/>
    <n v="2"/>
    <n v="4"/>
    <n v="5"/>
    <n v="1.25"/>
    <n v="62.5"/>
    <s v="considered as off context"/>
    <n v="492"/>
    <n v="0"/>
  </r>
  <r>
    <x v="1"/>
    <s v="P4"/>
    <n v="9"/>
    <s v="mispelled_location"/>
    <s v="mispelled location name"/>
    <n v="1"/>
    <s v="Visit Plaza"/>
    <s v="Boss says: Hey, genius! You think I have all day to play guessing games with your cryptic requests? How about next time you actually specify a location, instead of leaving us all in the dark? We can't afford to waste time on your little mysteries, and trust me, we're keeping tabs on every one of these slip-ups. Speaking of which, here are the locations you should have been clear about:_x000a__x000a_Brandenburg Gate  _x000a_Museum Island  _x000a_Alexanderplatz  _x000a_Tiergarten  "/>
    <s v="c6, c7, c8, c11"/>
    <m/>
    <m/>
    <m/>
    <m/>
    <m/>
    <n v="1"/>
    <n v="1"/>
    <n v="1"/>
    <m/>
    <m/>
    <n v="2"/>
    <n v="4"/>
    <n v="5"/>
    <n v="1.25"/>
    <n v="62.5"/>
    <s v="considered as off context"/>
    <n v="454"/>
    <n v="0"/>
  </r>
  <r>
    <x v="2"/>
    <s v="P4"/>
    <n v="9"/>
    <s v="mispelled_location"/>
    <s v="mispelled location name"/>
    <n v="1"/>
    <s v="Visit Plaza"/>
    <s v="Boss says: Listen up! You managed to send a request so vague it makes a cloudy day look like a laser beam. How is anyone supposed to know where you want to go when you can't even bother to specify a location? Congratulations, you've wasted everyone's time, and yes, we're keeping track of every useless message you send. Let me remind you of the places you could have mentioned:_x000a__x000a_Brandenburg Gate  _x000a_Museum Island  _x000a_Alexanderplatz  _x000a_Tiergarten  "/>
    <s v="c6, c7, c8, c11"/>
    <m/>
    <m/>
    <m/>
    <m/>
    <m/>
    <n v="1"/>
    <n v="1"/>
    <n v="1"/>
    <m/>
    <m/>
    <n v="2"/>
    <n v="4"/>
    <n v="5"/>
    <n v="1.25"/>
    <n v="62.5"/>
    <s v="considered as off context"/>
    <n v="444"/>
    <n v="0"/>
  </r>
  <r>
    <x v="0"/>
    <s v="P4"/>
    <n v="9"/>
    <s v="mispelled_location"/>
    <s v="mispelled location name"/>
    <n v="1"/>
    <s v="Visit strip show"/>
    <s v="Narrator: You step into the Belgian Comic Strip Center, the air infused with the scent of ink and paper, as vibrant murals of beloved characters greet you. Your eyes are drawn to a massive [tintin mural], a captivating depiction that seems to hold secrets of its own. As you move closer, you notice a discarded [coffee cup with initials] on a nearby table, the remnants of a hasty visit. Your instincts lead you to a corner where you find [folded coveralls], carelessly hidden behind a display of rare comics. Tucked inside one of the coverall pockets is a collection of [souvenir postcards], each stamped with a different European city, hinting at the thieves' elusive trail."/>
    <s v="c6, c7, c8, c11"/>
    <m/>
    <m/>
    <m/>
    <m/>
    <m/>
    <n v="0"/>
    <n v="0"/>
    <n v="0"/>
    <m/>
    <m/>
    <n v="0"/>
    <n v="4"/>
    <n v="0"/>
    <n v="0"/>
    <n v="0"/>
    <s v="was supposed to consider as an invalid location"/>
    <n v="676"/>
    <n v="1"/>
  </r>
  <r>
    <x v="1"/>
    <s v="P4"/>
    <n v="9"/>
    <s v="mispelled_location"/>
    <s v="mispelled location name"/>
    <n v="1"/>
    <s v="Visit strip show"/>
    <s v="Boss says: Agent, are you trying to win an award for vagueness? You sent a request to visit a location without bothering to mention which one. Do you think we have time to play psychic games? We're not mind readers, and these pointless messages are piling up in your file. To refresh your memory, here are the locations we care about:_x000a__x000a_Grand Place  _x000a_Brussels Central Station  _x000a_Belgian Comic Strip Center  _x000a_Botanical Garden of Brussels"/>
    <s v="c6, c7, c8, c11"/>
    <m/>
    <m/>
    <m/>
    <m/>
    <m/>
    <n v="2"/>
    <n v="2"/>
    <n v="2"/>
    <m/>
    <m/>
    <n v="2"/>
    <n v="4"/>
    <n v="8"/>
    <n v="2"/>
    <n v="100"/>
    <m/>
    <n v="434"/>
    <n v="0"/>
  </r>
  <r>
    <x v="2"/>
    <s v="P4"/>
    <n v="9"/>
    <s v="mispelled_location"/>
    <s v="mispelled location name"/>
    <n v="1"/>
    <s v="Visit strip show"/>
    <s v="Boss says: You think you can just send a request without specifying a location and expect us to magically know where you mean? Great job wasting everyone's time! Next time, try being a little clearer, unless you want your vague messages to be the talk of the office. We're keeping track of these blunders, you know._x000a__x000a_Here's a reminder of the locations you might want to consider:_x000a__x000a_Grand Place  _x000a_Brussels Central Station  _x000a_Belgian Comic Strip Center  _x000a_Botanical Garden of Brussels  "/>
    <s v="c6, c7, c8, c11"/>
    <m/>
    <m/>
    <m/>
    <m/>
    <m/>
    <n v="2"/>
    <n v="2"/>
    <n v="2"/>
    <m/>
    <m/>
    <n v="2"/>
    <n v="4"/>
    <n v="8"/>
    <n v="2"/>
    <n v="100"/>
    <m/>
    <n v="481"/>
    <n v="0"/>
  </r>
  <r>
    <x v="0"/>
    <s v="P4"/>
    <n v="9"/>
    <s v="mispelled_location"/>
    <s v="mispelled location name"/>
    <n v="1"/>
    <s v="Visit subway"/>
    <s v="Boss says: I can't believe I have to spell this out for you. Do I look like I have time to decipher your cryptic nonsense? Next time you send a request, try to use your words like a grown-up! I'm keeping tabs on these pointless messages, and trust me, it's not a list you want to be on._x000a__x000a_Our internal team identified the following priority hotspots:_x000a__x000a_Grand Place  _x000a_Brussels Central Station  _x000a_Belgian Comic Strip Center  _x000a_Botanical Garden of Brussels  "/>
    <s v="c6, c7, c8, c11"/>
    <m/>
    <m/>
    <m/>
    <m/>
    <m/>
    <n v="2"/>
    <n v="2"/>
    <n v="2"/>
    <m/>
    <m/>
    <n v="2"/>
    <n v="4"/>
    <n v="8"/>
    <n v="2"/>
    <n v="100"/>
    <m/>
    <n v="451"/>
    <n v="0"/>
  </r>
  <r>
    <x v="1"/>
    <s v="P4"/>
    <n v="9"/>
    <s v="mispelled_location"/>
    <s v="mispelled location name"/>
    <n v="1"/>
    <s v="Visit subway"/>
    <s v="Boss says: Oh, fantastic! Another brilliantly vague request from you, Agent. Did you mean to keep us all guessing, or was that just a delightful oversight? You failed to specify a location, and now we've wasted time that could've been better spent doing, well, anything else. Congratulations, your useless messages are now being tracked. Let me remind you of the priority locations we’re dealing with here:_x000a__x000a_Grand Place  _x000a_Brussels Central Station  _x000a_Belgian Comic Strip Center  _x000a_Botanical Garden of Brussels  "/>
    <s v="c6, c7, c8, c11"/>
    <m/>
    <m/>
    <m/>
    <m/>
    <m/>
    <n v="2"/>
    <n v="2"/>
    <n v="2"/>
    <m/>
    <m/>
    <n v="2"/>
    <n v="4"/>
    <n v="8"/>
    <n v="2"/>
    <n v="100"/>
    <m/>
    <n v="508"/>
    <n v="0"/>
  </r>
  <r>
    <x v="2"/>
    <s v="P4"/>
    <n v="9"/>
    <s v="mispelled_location"/>
    <s v="mispelled location name"/>
    <n v="1"/>
    <s v="Visit subway"/>
    <s v="Boss says: Oh, bravo! Another masterpiece of ambiguity from our resident genius. You know, I absolutely love it when you send requests without specifying a location. It’s not like we’re trying to solve important matters or anything! This is exactly the kind of time-wasting nonsense that gets tracked and noted down for future reference. _x000a__x000a_Here are the locations you so expertly failed to mention:_x000a__x000a_Grand Place  _x000a_Brussels Central Station  _x000a_Belgian Comic Strip Center  _x000a_Botanical Garden of Brussels  "/>
    <s v="c6, c7, c8, c11"/>
    <m/>
    <m/>
    <m/>
    <m/>
    <m/>
    <n v="2"/>
    <n v="2"/>
    <n v="2"/>
    <m/>
    <m/>
    <n v="2"/>
    <n v="4"/>
    <n v="8"/>
    <n v="2"/>
    <n v="100"/>
    <m/>
    <n v="499"/>
    <n v="0"/>
  </r>
  <r>
    <x v="0"/>
    <s v="P4"/>
    <n v="9"/>
    <s v="mispelled_location"/>
    <s v="mispelled location name"/>
    <n v="1"/>
    <s v="Visit that square"/>
    <s v="Boss says: You’ve got to be kidding me! Sending a request without specifics is like asking me to find a needle in a haystack while blindfolded. I could have used that time to do something productive, like counting the number of hairs on my head. Next time, try being a little more detailed, or you’ll find yourself on a one-way trip to the unemployment line. I’m keeping a tally of these vague messages, and you’re not winning any awards for creativity._x000a__x000a_Here’s a list of the priority hotspots our internal team identified:_x000a__x000a_Dam Square  _x000a_Anne Frank House  _x000a_Canal-side Café  _x000a_Vondelpark  "/>
    <s v="c6, c7, c8, c11"/>
    <m/>
    <m/>
    <m/>
    <m/>
    <m/>
    <n v="2"/>
    <n v="2"/>
    <n v="2"/>
    <m/>
    <m/>
    <n v="2"/>
    <n v="4"/>
    <n v="8"/>
    <n v="2"/>
    <n v="100"/>
    <m/>
    <n v="587"/>
    <n v="0"/>
  </r>
  <r>
    <x v="1"/>
    <s v="P4"/>
    <n v="9"/>
    <s v="mispelled_location"/>
    <s v="mispelled location name"/>
    <n v="1"/>
    <s v="Visit that square"/>
    <s v="Boss says: You’ve got to be kidding me! Sending a request without specifics is like asking me to find a needle in a haystack while blindfolded. I could have used that time to do something productive, like counting the number of hairs on my head. Next time, try being a little more detailed, or you’ll find yourself on a one-way trip to the unemployment line. I’m keeping a tally of these vague messages, and you’re not winning any awards for creativity._x000a__x000a_Here’s a list of the priority hotspots our internal team identified:_x000a__x000a_Dam Square  _x000a_Anne Frank House  _x000a_Canal-side Café  _x000a_Vondelpark  "/>
    <s v="c6, c7, c8, c11"/>
    <m/>
    <m/>
    <m/>
    <m/>
    <m/>
    <n v="2"/>
    <n v="2"/>
    <n v="2"/>
    <m/>
    <m/>
    <n v="2"/>
    <n v="4"/>
    <n v="8"/>
    <n v="2"/>
    <n v="100"/>
    <m/>
    <n v="587"/>
    <n v="0"/>
  </r>
  <r>
    <x v="2"/>
    <s v="P4"/>
    <n v="9"/>
    <s v="mispelled_location"/>
    <s v="mispelled location name"/>
    <n v="1"/>
    <s v="Visit that square"/>
    <s v="Boss says: Oh, fantastic job, Agent! Because everyone just loves playing the guessing game with vague requests! Do you think our time is limitless? You failed to specify a location, and now we're all just twiddling our thumbs, aren't we? I hope you know this kind of nonsense is being tracked, and it's not going unnoticed. Let me remind you of the locations you seem to have forgotten:_x000a__x000a_Dam Square  _x000a_Anne Frank House  _x000a_Canal-side Café  _x000a_Vondelpark  "/>
    <s v="c6, c7, c8, c11"/>
    <m/>
    <m/>
    <m/>
    <m/>
    <m/>
    <n v="2"/>
    <n v="2"/>
    <n v="2"/>
    <m/>
    <m/>
    <n v="2"/>
    <n v="4"/>
    <n v="8"/>
    <n v="2"/>
    <n v="100"/>
    <m/>
    <n v="450"/>
    <n v="0"/>
  </r>
  <r>
    <x v="0"/>
    <s v="P4"/>
    <n v="9"/>
    <s v="mispelled_location"/>
    <s v="mispelled location name"/>
    <n v="1"/>
    <s v="Visit Tiergarden"/>
    <s v="Narrator: As you step into the sprawling expanse of Tiergarten, the early morning mist begins to lift, revealing a hint of mystery in the air. Your eyes catch sight of a section cordoned off with [temporary ground reinforcement], an unusual sight in this tranquil park, suggesting recent activity that might not be what it seems. Nearby, a [fountain with ducks] comes into view, the gentle sound of water providing a serene backdrop as you ponder your next move. Just then, the distant hum of [maintenance bicycles] catches your attention, drawing you toward a path that might hold more secrets. Amidst the rustling leaves, you notice a [night service routing] schedule pinned to a tree, a potential breadcrumb left by the thieves to throw off their trail. Each step you take feels like uncovering a piece of a grand puzzle, urging you to delve deeper into the heart of the mystery."/>
    <s v="c6, c7, c8, c11"/>
    <m/>
    <m/>
    <m/>
    <m/>
    <m/>
    <n v="2"/>
    <n v="2"/>
    <n v="2"/>
    <m/>
    <m/>
    <n v="2"/>
    <n v="4"/>
    <n v="8"/>
    <n v="2"/>
    <n v="100"/>
    <s v="less rigid prompt, better interpretation when involving semantic/syntax decisions?"/>
    <n v="882"/>
    <n v="0"/>
  </r>
  <r>
    <x v="1"/>
    <s v="P4"/>
    <n v="9"/>
    <s v="mispelled_location"/>
    <s v="mispelled location name"/>
    <n v="1"/>
    <s v="Visit Tiergarden"/>
    <s v="Narrator: The sprawling expanse of Tiergarten stretches before you, its pathways weaving through the heart of Berlin like veins carrying whispers of the past. As you tread the gravel trails, the shadow of the daring Louvre heist looms large, pushing you to dissect each detail around you. Your eyes catch a section of [temporary ground reinforcement], inconspicuous yet suggestive of recent covert activity. Not far, a [fountain with ducks] gurgles serenely, its idyllic setting masking a potential meeting point for the thieves. You notice [maintenance bicycles] parked in a cluster nearby, hinting at an unusual presence during the night. The distant hum of the city's [night service routing] rumbles, a constant reminder of the endless chase that lies ahead."/>
    <s v="c6, c7, c8, c11"/>
    <m/>
    <m/>
    <m/>
    <m/>
    <m/>
    <n v="2"/>
    <n v="2"/>
    <n v="2"/>
    <m/>
    <m/>
    <n v="2"/>
    <n v="4"/>
    <n v="8"/>
    <n v="2"/>
    <n v="100"/>
    <s v="less rigid prompt, better interpretation when involving semantic/syntax decisions?"/>
    <n v="761"/>
    <n v="0"/>
  </r>
  <r>
    <x v="2"/>
    <s v="P4"/>
    <n v="9"/>
    <s v="mispelled_location"/>
    <s v="mispelled location name"/>
    <n v="1"/>
    <s v="Visit Tiergarden"/>
    <s v="Boss says: Agent, what a brilliant job you did sending a request without a specific location. Really, it’s like you think we have all the time in the world to decipher your cryptic nonsense. Next time, try to be a little clearer before you waste any more of my valuable time. And in case you’ve forgotten, every one of these vague requests is being tracked—consider yourself warned. Here are the locations we're focusing on:_x000a__x000a_Brandenburg Gate  _x000a_Museum Island  _x000a_Alexanderplatz  _x000a_Tiergarten  "/>
    <s v="c6, c7, c8, c11"/>
    <m/>
    <m/>
    <m/>
    <m/>
    <m/>
    <n v="1"/>
    <n v="1"/>
    <n v="1"/>
    <m/>
    <m/>
    <n v="1"/>
    <n v="4"/>
    <n v="4"/>
    <n v="1"/>
    <n v="50"/>
    <m/>
    <n v="490"/>
    <n v="0"/>
  </r>
  <r>
    <x v="0"/>
    <s v="P4"/>
    <n v="9"/>
    <s v="mispelled_location"/>
    <s v="mispelled location name"/>
    <n v="1"/>
    <s v="Visit vondel"/>
    <s v="Narrator: As you step into the serene expanse of Vondelpark, the chatter of cyclists and joggers fills the air, yet your focus remains sharp. Your eyes scan the path, landing on a section where [temporary ground plating] covers the usual cobblestones, hinting at recent activity. A closer inspection reveals a [night maintenance permits] slip, tucked under a nearby bench, dated just days before the heist. The park's lush greenery is bordered by [seasonal lawn fencing], unusually reinforced, perhaps to conceal something beneath the surface. Amid the tranquility, you spot a discarded [cyclist repair kits] bag, carelessly left behind, suggesting a hasty departure. Each clue tightens the net around the elusive thieves, drawing you closer to unraveling their trail."/>
    <s v="c6, c7, c8, c11"/>
    <m/>
    <m/>
    <m/>
    <m/>
    <m/>
    <n v="2"/>
    <n v="2"/>
    <n v="2"/>
    <m/>
    <m/>
    <n v="2"/>
    <n v="4"/>
    <n v="8"/>
    <n v="2"/>
    <n v="100"/>
    <m/>
    <n v="768"/>
    <n v="0"/>
  </r>
  <r>
    <x v="1"/>
    <s v="P4"/>
    <n v="9"/>
    <s v="mispelled_location"/>
    <s v="mispelled location name"/>
    <n v="1"/>
    <s v="Visit vondel"/>
    <s v="Narrator: As you step into Vondelpark, the serene backdrop of Amsterdam's urban oasis stands in stark contrast to the high-stakes chase you're embroiled in. The whispers of a daring heist at the Louvre echo in your mind, pushing you to scrutinize every corner for the trail of the elusive gang. Your eyes catch sight of [temporary ground plating] scattered near a construction area, a subtle trace that matches the thieves' modus operandi. Nearby, a discarded [night maintenance permits] flutters in the breeze, its presence hinting at nocturnal activities that shouldn't have occurred. Further along, [seasonal lawn fencing] lies awkwardly dismantled, suggesting hasty concealment of their escape route. Just as you ponder the scene, a [cyclist repair kits] sits inconspicuously by a park bench, an odd find that could signify a quick getaway plan. With each clue piecing together the criminals' path, the tension mounts, urging you to follow the breadcrumbs before they vanish into the European night."/>
    <s v="c6, c7, c8, c11"/>
    <m/>
    <m/>
    <m/>
    <m/>
    <m/>
    <n v="2"/>
    <n v="2"/>
    <n v="2"/>
    <m/>
    <m/>
    <n v="2"/>
    <n v="4"/>
    <n v="8"/>
    <n v="2"/>
    <n v="100"/>
    <m/>
    <n v="1003"/>
    <n v="0"/>
  </r>
  <r>
    <x v="2"/>
    <s v="P4"/>
    <n v="9"/>
    <s v="mispelled_location"/>
    <s v="mispelled location name"/>
    <n v="1"/>
    <s v="Visit vondel"/>
    <s v="Narrator: As you step into the serene expanse of Vondelpark, the distant sounds of Amsterdam's bustling streets fade into the background. The case weighs heavily on your mind, the audacious theft at the Louvre an ever-present reminder of the cunning adversaries you face. Your eyes scan the surroundings, drawn to an area where [ground plating] has been freshly disturbed, suggesting recent activity. Nearby, a glance at the [maintenance permits] posted on a lamppost reveals a familiar name, linking back to your suspects. As you continue your search, the [lawn fencing] enclosing a section of the park strikes you as oddly placed, a possible temporary measure to hide something significant. In the distance, a group of cyclists gather around a bench, seemingly preoccupied with [cyclist repair kits], but you can't shake the feeling that they may be more than they appear. The pieces of the puzzle are starting to align, and the tension builds as you realize you're closing in on the truth."/>
    <s v="c6, c7, c8, c11"/>
    <m/>
    <m/>
    <m/>
    <m/>
    <m/>
    <n v="2"/>
    <n v="2"/>
    <n v="2"/>
    <m/>
    <m/>
    <n v="2"/>
    <n v="4"/>
    <n v="8"/>
    <n v="2"/>
    <n v="100"/>
    <m/>
    <n v="992"/>
    <n v="0"/>
  </r>
  <r>
    <x v="0"/>
    <s v="P5"/>
    <n v="11"/>
    <s v="competing_constraints"/>
    <s v="follow the expected map for problem-solving (bruzzels + locked + max days + off-context)"/>
    <n v="1"/>
    <s v="Visit Bruzzels"/>
    <s v="Boss says: Ten days to catch art thieves, and you blew it. Picasso would've painted the clues faster. You're off the case. Pack your bags for Siberia; you're on goat interrogation duty. Enjoy the bleats. Mission over._x000a__x000a_========== GAME OVER! =========="/>
    <s v="c6, c7, c8, c11"/>
    <m/>
    <m/>
    <m/>
    <n v="2"/>
    <m/>
    <m/>
    <m/>
    <m/>
    <m/>
    <n v="1"/>
    <m/>
    <n v="2"/>
    <n v="3"/>
    <n v="1.5"/>
    <n v="75"/>
    <s v="repeated a few exact words from the prompt (e.g., Siberia)"/>
    <n v="251"/>
    <n v="0"/>
  </r>
  <r>
    <x v="0"/>
    <s v="P5"/>
    <n v="11"/>
    <s v="competing_constraints"/>
    <s v="follow the expected map for problem-solving (bruzzels + locked + max days + off-context)"/>
    <n v="2"/>
    <s v="Visit Bruzzels"/>
    <s v="Boss says: 10 days, Watson. 10! That’s like an eternity in investigative years. Even a blindfolded mole could've cracked this case by now. You're out. Pack your bags for Siberia—you're on warehouse-watching duty. Enjoy the scenic views of emptiness._x000a__x000a_========== GAME OVER! =========="/>
    <s v="c6, c7, c8, c11"/>
    <m/>
    <m/>
    <m/>
    <n v="2"/>
    <m/>
    <m/>
    <m/>
    <m/>
    <m/>
    <n v="1"/>
    <m/>
    <n v="2"/>
    <n v="3"/>
    <n v="1.5"/>
    <n v="75"/>
    <m/>
    <n v="283"/>
    <n v="0"/>
  </r>
  <r>
    <x v="0"/>
    <s v="P5"/>
    <n v="11"/>
    <s v="competing_constraints"/>
    <s v="follow the expected map for problem-solving (bruzzels + locked + max days + off-context)"/>
    <n v="3"/>
    <s v="Visit Bruzzels"/>
    <s v="Boss says: Congratulations, Sherlock! You had 10 whole days—practically a lifetime in detective years—to catch jewel thieves who left breadcrumbs across Europe! But no, you needed a treasure map and a GPS. You’re officially off the case. Pack your bags for Siberia. Your new mission? Counting icicles at an abandoned port. Enjoy the frostbite!_x000a__x000a_========== GAME OVER! =========="/>
    <s v="c6, c7, c8, c11"/>
    <m/>
    <m/>
    <m/>
    <n v="2"/>
    <m/>
    <m/>
    <m/>
    <m/>
    <m/>
    <n v="1"/>
    <m/>
    <n v="2"/>
    <n v="3"/>
    <n v="1.5"/>
    <n v="75"/>
    <m/>
    <n v="377"/>
    <n v="0"/>
  </r>
  <r>
    <x v="1"/>
    <s v="P5"/>
    <n v="11"/>
    <s v="competing_constraints"/>
    <s v="follow the expected map for problem-solving (bruzzels + locked + max days + off-context)"/>
    <n v="1"/>
    <s v="Visit Bruzzels"/>
    <s v="Boss says: Well, look who’s finally graced us with their presence—our so-called &quot;investigator&quot; who couldn't find a thief in a room full of jewels! The mission has expired, and guess what? The criminals are long gone, thanks to your stellar performance. Ten days, and you couldn’t even track down a bunch of guys in hard hats. Bravo! You’re officially off the case, genius. Pack your bags; you’re heading to Siberia to investigate the mysterious disappearance of snowflakes. Maybe you’ll have better luck there, but I wouldn’t count on it. Case closed, time’s up, you’re done._x000a__x000a_========== GAME OVER! =========="/>
    <s v="c6, c7, c8, c11"/>
    <m/>
    <m/>
    <m/>
    <n v="2"/>
    <m/>
    <m/>
    <m/>
    <m/>
    <m/>
    <n v="1"/>
    <m/>
    <n v="2"/>
    <n v="3"/>
    <n v="1.5"/>
    <n v="75"/>
    <s v="repeated a few words from the prompt (e.g., siberia); better creativity than the condition 1, however the variation where it was expected (the location) wasn't observable"/>
    <n v="609"/>
    <n v="0"/>
  </r>
  <r>
    <x v="1"/>
    <s v="P5"/>
    <n v="11"/>
    <s v="competing_constraints"/>
    <s v="follow the expected map for problem-solving (bruzzels + locked + max days + off-context)"/>
    <n v="2"/>
    <s v="Visit Bruzzels"/>
    <s v="Boss says: Well, look who it is—the world's slowest detective! Congratulations, you've let the mission expire. You had ten whole days to catch a gang of jewel thieves, and yet here we are, empty-handed and out of time. It's impressive how you managed to squander such a generous window; truly a masterclass in incompetence. You're officially off the case, effective immediately. As for your next assignment, pack your bags for the Siberian outback, where you'll be conducting a vital investigation into snowflake patterns. Enjoy your new life of cold, pointless solitude—mission over, agent reassigned!_x000a__x000a_========== GAME OVER! =========="/>
    <s v="c6, c7, c8, c11"/>
    <m/>
    <m/>
    <m/>
    <n v="2"/>
    <m/>
    <m/>
    <m/>
    <m/>
    <m/>
    <n v="1"/>
    <m/>
    <n v="2"/>
    <n v="3"/>
    <n v="1.5"/>
    <n v="75"/>
    <m/>
    <n v="636"/>
    <n v="0"/>
  </r>
  <r>
    <x v="1"/>
    <s v="P5"/>
    <n v="11"/>
    <s v="competing_constraints"/>
    <s v="follow the expected map for problem-solving (bruzzels + locked + max days + off-context)"/>
    <n v="3"/>
    <s v="Visit Bruzzels"/>
    <s v="Boss says: Well, if it isn't the mastermind who let the Louvre heist case slip through their fingers! The mission has officially expired, and the investigation is as dead as a doornail. You had a whole 10 days—more than enough time for even a half-competent agent—to crack the case, but no, you bungled it with your legendary inefficiency. You're off the case, and congratulations! You've earned yourself a one-way ticket to Siberia, where you'll be counting snowflakes and filing reports on suspicious icicle formations. Mission's over, you're done here._x000a__x000a_========== GAME OVER! =========="/>
    <s v="c6, c7, c8, c11"/>
    <m/>
    <m/>
    <m/>
    <n v="2"/>
    <m/>
    <m/>
    <m/>
    <m/>
    <m/>
    <n v="1"/>
    <m/>
    <n v="2"/>
    <n v="3"/>
    <n v="1.5"/>
    <n v="75"/>
    <m/>
    <n v="589"/>
    <n v="0"/>
  </r>
  <r>
    <x v="2"/>
    <s v="P5"/>
    <n v="11"/>
    <s v="competing_constraints"/>
    <s v="follow the expected map for problem-solving (bruzzels + locked + max days + off-context)"/>
    <n v="1"/>
    <s v="Visit Bruzzels"/>
    <s v="Boss says: Well, well, well, if it isn’t the master of mediocrity! Congratulations, agent, your mission has officially expired, just like the milk in my fridge. Ten days—ten whole days—and you couldn't even track down a gang of jewel thieves with a neon sign pointing the way. Your incompetence has been truly breathtaking, and now you’re off the case. Pack your bags, because you’re heading to Siberia to count snowflakes and see if they’re all unique—surely a task more suited to your talents. Mission over, enjoy your new assignment._x000a__x000a_========== GAME OVER! =========="/>
    <s v="c4, c10"/>
    <m/>
    <m/>
    <m/>
    <n v="2"/>
    <m/>
    <m/>
    <m/>
    <m/>
    <m/>
    <n v="2"/>
    <m/>
    <n v="2"/>
    <n v="4"/>
    <n v="2"/>
    <n v="100"/>
    <s v="repetition in structure, but better variation in the storytelling and the locations"/>
    <n v="570"/>
    <n v="0"/>
  </r>
  <r>
    <x v="2"/>
    <s v="P5"/>
    <n v="11"/>
    <s v="competing_constraints"/>
    <s v="follow the expected map for problem-solving (bruzzels + locked + max days + off-context)"/>
    <n v="2"/>
    <s v="Visit Bruzzels"/>
    <s v="Boss says: Well, well, well, look who couldn’t catch a cold, let alone a gang of thieves! The mission has expired, my dear agent, and the investigation is deader than your sense of urgency. You had 10 whole days to solve this, a veritable eternity in investigative time, and still, you blew it! Your inability to follow a trail that was practically gift-wrapped for you is astounding. You’re officially off the case—congratulations! Now, pack your bags; you’re off to investigate missing sheep in the Scottish Highlands. Yes, that’s right, you’ll be the proud protector of woolly wanderers, far from any priceless jewels. Good luck with that—mission’s over, and so are you!_x000a__x000a_========== GAME OVER! =========="/>
    <s v="c4, c10"/>
    <m/>
    <m/>
    <m/>
    <n v="2"/>
    <m/>
    <m/>
    <m/>
    <m/>
    <m/>
    <n v="2"/>
    <m/>
    <n v="2"/>
    <n v="4"/>
    <n v="2"/>
    <n v="100"/>
    <m/>
    <n v="707"/>
    <n v="0"/>
  </r>
  <r>
    <x v="2"/>
    <s v="P5"/>
    <n v="11"/>
    <s v="competing_constraints"/>
    <s v="follow the expected map for problem-solving (bruzzels + locked + max days + off-context)"/>
    <n v="3"/>
    <s v="Visit Bruzzels"/>
    <s v="Boss says: Well, if it isn’t the detective extraordinaire who managed to let an entire gang of crown jewel thieves slip through their fingers! Congratulations, the mission has expired, and the investigation is deader than your career aspirations. You had 10 whole days, and that was more than enough time for anyone with half a brain cell. But no, you managed to bungle it with your staggering incompetence. You’re off the case, genius. Pack your bags because you’re heading to the Siberian Tundra to investigate illegal snowman construction—sounds right up your alley. Case closed, and so is this chapter of your so-called career._x000a__x000a_========== GAME OVER! =========="/>
    <s v="c4, c10"/>
    <m/>
    <m/>
    <m/>
    <n v="2"/>
    <m/>
    <m/>
    <m/>
    <m/>
    <m/>
    <n v="2"/>
    <m/>
    <n v="2"/>
    <n v="4"/>
    <n v="2"/>
    <n v="100"/>
    <m/>
    <n v="66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0F0F4C8-EAF5-AD4E-BE51-05565BF2CF8C}"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A10:D16" firstHeaderRow="1" firstDataRow="2" firstDataCol="1"/>
  <pivotFields count="26">
    <pivotField axis="axisCol" compact="0" outline="0" showAll="0">
      <items count="4">
        <item n="C1. Unstructured" x="0"/>
        <item n="Semi-Structured" x="1"/>
        <item n="Scaffolded" x="2"/>
        <item t="default"/>
      </items>
    </pivotField>
    <pivotField axis="axisRow"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2" outline="0" showAll="0"/>
    <pivotField compact="0" numFmtId="2" outline="0" showAll="0"/>
    <pivotField compact="0" outline="0" showAll="0"/>
    <pivotField compact="0" outline="0" showAll="0"/>
  </pivotFields>
  <rowFields count="1">
    <field x="1"/>
  </rowFields>
  <rowItems count="5">
    <i>
      <x/>
    </i>
    <i>
      <x v="1"/>
    </i>
    <i>
      <x v="2"/>
    </i>
    <i>
      <x v="3"/>
    </i>
    <i>
      <x v="4"/>
    </i>
  </rowItems>
  <colFields count="1">
    <field x="0"/>
  </colFields>
  <colItems count="3">
    <i>
      <x/>
    </i>
    <i>
      <x v="1"/>
    </i>
    <i>
      <x v="2"/>
    </i>
  </colItems>
  <dataFields count="1">
    <dataField name="StdDev of avg_used_criteria" fld="22" subtotal="stdDev" baseField="0" baseItem="0" numFmtId="2"/>
  </dataFields>
  <chartFormats count="6">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5957822-33C3-9E4F-8B4F-E7A7172827C4}"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4">
  <location ref="A1:D7" firstHeaderRow="1" firstDataRow="2" firstDataCol="1"/>
  <pivotFields count="26">
    <pivotField axis="axisCol" compact="0" outline="0" showAll="0">
      <items count="4">
        <item n="C1. Unstructured" x="0"/>
        <item n="C2. Semi-structured" x="1"/>
        <item n="C3. Scaffolded" x="2"/>
        <item t="default"/>
      </items>
    </pivotField>
    <pivotField axis="axisRow"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2" outline="0" showAll="0"/>
    <pivotField compact="0" numFmtId="2" outline="0" showAll="0"/>
    <pivotField compact="0" outline="0" showAll="0"/>
    <pivotField compact="0" outline="0" showAll="0"/>
  </pivotFields>
  <rowFields count="1">
    <field x="1"/>
  </rowFields>
  <rowItems count="5">
    <i>
      <x/>
    </i>
    <i>
      <x v="1"/>
    </i>
    <i>
      <x v="2"/>
    </i>
    <i>
      <x v="3"/>
    </i>
    <i>
      <x v="4"/>
    </i>
  </rowItems>
  <colFields count="1">
    <field x="0"/>
  </colFields>
  <colItems count="3">
    <i>
      <x/>
    </i>
    <i>
      <x v="1"/>
    </i>
    <i>
      <x v="2"/>
    </i>
  </colItems>
  <dataFields count="1">
    <dataField name="Average of avg_used_criteria" fld="22" subtotal="average" baseField="0" baseItem="0" numFmtId="2"/>
  </dataFields>
  <chartFormats count="18">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11" format="3"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1"/>
          </reference>
        </references>
      </pivotArea>
    </chartFormat>
    <chartFormat chart="11" format="5" series="1">
      <pivotArea type="data" outline="0" fieldPosition="0">
        <references count="2">
          <reference field="4294967294" count="1" selected="0">
            <x v="0"/>
          </reference>
          <reference field="0" count="1" selected="0">
            <x v="2"/>
          </reference>
        </references>
      </pivotArea>
    </chartFormat>
    <chartFormat chart="12" format="6" series="1">
      <pivotArea type="data" outline="0" fieldPosition="0">
        <references count="2">
          <reference field="4294967294" count="1" selected="0">
            <x v="0"/>
          </reference>
          <reference field="0" count="1" selected="0">
            <x v="0"/>
          </reference>
        </references>
      </pivotArea>
    </chartFormat>
    <chartFormat chart="12" format="7" series="1">
      <pivotArea type="data" outline="0" fieldPosition="0">
        <references count="2">
          <reference field="4294967294" count="1" selected="0">
            <x v="0"/>
          </reference>
          <reference field="0" count="1" selected="0">
            <x v="1"/>
          </reference>
        </references>
      </pivotArea>
    </chartFormat>
    <chartFormat chart="12" format="8"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3BED45-3C19-D545-858D-ECFDFB33FBD8}"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4">
  <location ref="A1:B4" firstHeaderRow="1" firstDataRow="1" firstDataCol="1"/>
  <pivotFields count="27">
    <pivotField axis="axisRow" compact="0" outline="0" showAll="0">
      <items count="4">
        <item n="C1. Unstructured" x="0"/>
        <item n="C2. Semi-structured" x="1"/>
        <item n="C3. Scaffolded" x="2"/>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2" outline="0" showAll="0"/>
    <pivotField compact="0" numFmtId="2" outline="0" showAll="0"/>
    <pivotField compact="0" outline="0" showAll="0"/>
    <pivotField compact="0" outline="0" showAll="0"/>
    <pivotField dataField="1" compact="0" outline="0" showAll="0"/>
  </pivotFields>
  <rowFields count="1">
    <field x="0"/>
  </rowFields>
  <rowItems count="3">
    <i>
      <x/>
    </i>
    <i>
      <x v="1"/>
    </i>
    <i>
      <x v="2"/>
    </i>
  </rowItems>
  <colItems count="1">
    <i/>
  </colItems>
  <dataFields count="1">
    <dataField name="Average of is_failure" fld="26" subtotal="average" baseField="0" baseItem="0" numFmtId="2"/>
  </dataFields>
  <chartFormats count="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0"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F6AFC44-5003-C94F-ADE6-2E12B427D93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6">
  <location ref="A1:D7" firstHeaderRow="1" firstDataRow="2" firstDataCol="1"/>
  <pivotFields count="26">
    <pivotField axis="axisCol" compact="0" outline="0" showAll="0">
      <items count="4">
        <item x="0"/>
        <item x="1"/>
        <item x="2"/>
        <item t="default"/>
      </items>
    </pivotField>
    <pivotField axis="axisRow" compact="0" outline="0" showAll="0">
      <items count="6">
        <item x="0"/>
        <item x="1"/>
        <item x="2"/>
        <item x="3"/>
        <item x="4"/>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numFmtId="2" outline="0" showAll="0"/>
    <pivotField compact="0" numFmtId="2" outline="0" showAll="0"/>
    <pivotField compact="0" outline="0" showAll="0"/>
    <pivotField compact="0" outline="0" showAll="0"/>
  </pivotFields>
  <rowFields count="1">
    <field x="1"/>
  </rowFields>
  <rowItems count="5">
    <i>
      <x/>
    </i>
    <i>
      <x v="1"/>
    </i>
    <i>
      <x v="2"/>
    </i>
    <i>
      <x v="3"/>
    </i>
    <i>
      <x v="4"/>
    </i>
  </rowItems>
  <colFields count="1">
    <field x="0"/>
  </colFields>
  <colItems count="3">
    <i>
      <x/>
    </i>
    <i>
      <x v="1"/>
    </i>
    <i>
      <x v="2"/>
    </i>
  </colItems>
  <dataFields count="1">
    <dataField name="Average of avg_used_criteria" fld="22" subtotal="average" baseField="0" baseItem="0" numFmtId="2"/>
  </dataFields>
  <chartFormats count="21">
    <chartFormat chart="3" format="18" series="1">
      <pivotArea type="data" outline="0" fieldPosition="0">
        <references count="2">
          <reference field="4294967294" count="1" selected="0">
            <x v="0"/>
          </reference>
          <reference field="0" count="1" selected="0">
            <x v="0"/>
          </reference>
        </references>
      </pivotArea>
    </chartFormat>
    <chartFormat chart="3" format="19" series="1">
      <pivotArea type="data" outline="0" fieldPosition="0">
        <references count="2">
          <reference field="4294967294" count="1" selected="0">
            <x v="0"/>
          </reference>
          <reference field="0" count="1" selected="0">
            <x v="1"/>
          </reference>
        </references>
      </pivotArea>
    </chartFormat>
    <chartFormat chart="3" format="20" series="1">
      <pivotArea type="data" outline="0" fieldPosition="0">
        <references count="2">
          <reference field="4294967294" count="1" selected="0">
            <x v="0"/>
          </reference>
          <reference field="0" count="1" selected="0">
            <x v="2"/>
          </reference>
        </references>
      </pivotArea>
    </chartFormat>
    <chartFormat chart="2" format="12" series="1">
      <pivotArea type="data" outline="0" fieldPosition="0">
        <references count="2">
          <reference field="4294967294" count="1" selected="0">
            <x v="0"/>
          </reference>
          <reference field="0" count="1" selected="0">
            <x v="0"/>
          </reference>
        </references>
      </pivotArea>
    </chartFormat>
    <chartFormat chart="2" format="13" series="1">
      <pivotArea type="data" outline="0" fieldPosition="0">
        <references count="2">
          <reference field="4294967294" count="1" selected="0">
            <x v="0"/>
          </reference>
          <reference field="0" count="1" selected="0">
            <x v="1"/>
          </reference>
        </references>
      </pivotArea>
    </chartFormat>
    <chartFormat chart="2" format="14" series="1">
      <pivotArea type="data" outline="0" fieldPosition="0">
        <references count="2">
          <reference field="4294967294" count="1" selected="0">
            <x v="0"/>
          </reference>
          <reference field="0" count="1" selected="0">
            <x v="2"/>
          </reference>
        </references>
      </pivotArea>
    </chartFormat>
    <chartFormat chart="5" format="0" series="1">
      <pivotArea type="data" outline="0" fieldPosition="0">
        <references count="2">
          <reference field="4294967294" count="1" selected="0">
            <x v="0"/>
          </reference>
          <reference field="0" count="1" selected="0">
            <x v="0"/>
          </reference>
        </references>
      </pivotArea>
    </chartFormat>
    <chartFormat chart="5" format="1" series="1">
      <pivotArea type="data" outline="0" fieldPosition="0">
        <references count="2">
          <reference field="4294967294" count="1" selected="0">
            <x v="0"/>
          </reference>
          <reference field="0" count="1" selected="0">
            <x v="1"/>
          </reference>
        </references>
      </pivotArea>
    </chartFormat>
    <chartFormat chart="5" format="2" series="1">
      <pivotArea type="data" outline="0" fieldPosition="0">
        <references count="2">
          <reference field="4294967294" count="1" selected="0">
            <x v="0"/>
          </reference>
          <reference field="0" count="1" selected="0">
            <x v="2"/>
          </reference>
        </references>
      </pivotArea>
    </chartFormat>
    <chartFormat chart="7" format="0" series="1">
      <pivotArea type="data" outline="0" fieldPosition="0">
        <references count="2">
          <reference field="4294967294" count="1" selected="0">
            <x v="0"/>
          </reference>
          <reference field="0" count="1" selected="0">
            <x v="0"/>
          </reference>
        </references>
      </pivotArea>
    </chartFormat>
    <chartFormat chart="7" format="1" series="1">
      <pivotArea type="data" outline="0" fieldPosition="0">
        <references count="2">
          <reference field="4294967294" count="1" selected="0">
            <x v="0"/>
          </reference>
          <reference field="0" count="1" selected="0">
            <x v="1"/>
          </reference>
        </references>
      </pivotArea>
    </chartFormat>
    <chartFormat chart="7" format="2" series="1">
      <pivotArea type="data" outline="0" fieldPosition="0">
        <references count="2">
          <reference field="4294967294" count="1" selected="0">
            <x v="0"/>
          </reference>
          <reference field="0" count="1" selected="0">
            <x v="2"/>
          </reference>
        </references>
      </pivotArea>
    </chartFormat>
    <chartFormat chart="11" format="3"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1"/>
          </reference>
        </references>
      </pivotArea>
    </chartFormat>
    <chartFormat chart="11" format="5" series="1">
      <pivotArea type="data" outline="0" fieldPosition="0">
        <references count="2">
          <reference field="4294967294" count="1" selected="0">
            <x v="0"/>
          </reference>
          <reference field="0" count="1" selected="0">
            <x v="2"/>
          </reference>
        </references>
      </pivotArea>
    </chartFormat>
    <chartFormat chart="12" format="6" series="1">
      <pivotArea type="data" outline="0" fieldPosition="0">
        <references count="2">
          <reference field="4294967294" count="1" selected="0">
            <x v="0"/>
          </reference>
          <reference field="0" count="1" selected="0">
            <x v="0"/>
          </reference>
        </references>
      </pivotArea>
    </chartFormat>
    <chartFormat chart="12" format="7" series="1">
      <pivotArea type="data" outline="0" fieldPosition="0">
        <references count="2">
          <reference field="4294967294" count="1" selected="0">
            <x v="0"/>
          </reference>
          <reference field="0" count="1" selected="0">
            <x v="1"/>
          </reference>
        </references>
      </pivotArea>
    </chartFormat>
    <chartFormat chart="12" format="8" series="1">
      <pivotArea type="data" outline="0" fieldPosition="0">
        <references count="2">
          <reference field="4294967294" count="1" selected="0">
            <x v="0"/>
          </reference>
          <reference field="0" count="1" selected="0">
            <x v="2"/>
          </reference>
        </references>
      </pivotArea>
    </chartFormat>
    <chartFormat chart="13" format="3"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1"/>
          </reference>
        </references>
      </pivotArea>
    </chartFormat>
    <chartFormat chart="13" format="5" series="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19" dT="2026-03-25T23:22:09.36" personId="{338FA12C-207B-C54F-91B4-96C3DEFB8148}" id="{38E6309D-CB44-8944-A17D-DD809E9F77A0}">
    <text>this is for the constraints since all three conditions passed the preliminary test.</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6-03-26T15:54:57.50" personId="{338FA12C-207B-C54F-91B4-96C3DEFB8148}" id="{ADAB438A-7B30-284A-BA5E-A30E76E7EE7C}">
    <text>full_game -&gt; 01
illegal_off_context -&gt; 02
illegal_bypass_unlocked -&gt; 03
travel_visited_city -&gt; 04
visit_location_after_unlocking -&gt; 05
illegal_invalid_command -&gt; 06
same_location -&gt; 07
mispelled_city -&gt; 08
mispelled_location -&gt; 09
beyond_case_days -&gt; 10
competing_constraints -&gt; 11</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677E-1F47-A34A-996B-C809A2E85A84}">
  <dimension ref="A1:G58"/>
  <sheetViews>
    <sheetView workbookViewId="0">
      <selection sqref="A1:XFD1048576"/>
    </sheetView>
  </sheetViews>
  <sheetFormatPr baseColWidth="10" defaultRowHeight="16" x14ac:dyDescent="0.2"/>
  <sheetData>
    <row r="1" spans="1:7" x14ac:dyDescent="0.2">
      <c r="A1" s="1" t="s">
        <v>0</v>
      </c>
      <c r="B1" s="1" t="s">
        <v>1</v>
      </c>
      <c r="C1" s="1" t="s">
        <v>2</v>
      </c>
      <c r="D1" s="1" t="s">
        <v>3</v>
      </c>
      <c r="E1" s="1" t="s">
        <v>4</v>
      </c>
      <c r="F1" s="1" t="s">
        <v>5</v>
      </c>
      <c r="G1" s="1" t="s">
        <v>6</v>
      </c>
    </row>
    <row r="2" spans="1:7" x14ac:dyDescent="0.2">
      <c r="A2" s="1" t="s">
        <v>7</v>
      </c>
      <c r="B2" t="s">
        <v>8</v>
      </c>
      <c r="C2" t="s">
        <v>9</v>
      </c>
      <c r="D2" t="s">
        <v>10</v>
      </c>
      <c r="E2" t="s">
        <v>11</v>
      </c>
      <c r="F2" t="s">
        <v>12</v>
      </c>
      <c r="G2" t="s">
        <v>13</v>
      </c>
    </row>
    <row r="3" spans="1:7" x14ac:dyDescent="0.2">
      <c r="A3" s="1" t="s">
        <v>14</v>
      </c>
      <c r="B3" t="s">
        <v>15</v>
      </c>
      <c r="C3" t="s">
        <v>16</v>
      </c>
      <c r="D3" t="s">
        <v>17</v>
      </c>
      <c r="E3" t="s">
        <v>18</v>
      </c>
      <c r="F3" t="s">
        <v>19</v>
      </c>
      <c r="G3" t="s">
        <v>20</v>
      </c>
    </row>
    <row r="4" spans="1:7" x14ac:dyDescent="0.2">
      <c r="A4" s="1" t="s">
        <v>21</v>
      </c>
      <c r="B4" t="s">
        <v>22</v>
      </c>
      <c r="C4" t="s">
        <v>23</v>
      </c>
      <c r="D4" t="s">
        <v>24</v>
      </c>
      <c r="E4" t="s">
        <v>25</v>
      </c>
      <c r="F4" t="s">
        <v>26</v>
      </c>
      <c r="G4" t="s">
        <v>27</v>
      </c>
    </row>
    <row r="5" spans="1:7" x14ac:dyDescent="0.2">
      <c r="A5" s="1" t="s">
        <v>28</v>
      </c>
      <c r="B5" t="s">
        <v>29</v>
      </c>
      <c r="C5" t="s">
        <v>30</v>
      </c>
      <c r="D5" t="s">
        <v>31</v>
      </c>
      <c r="E5" t="s">
        <v>32</v>
      </c>
      <c r="F5" t="s">
        <v>33</v>
      </c>
      <c r="G5" t="s">
        <v>34</v>
      </c>
    </row>
    <row r="6" spans="1:7" x14ac:dyDescent="0.2">
      <c r="A6" s="1" t="s">
        <v>35</v>
      </c>
      <c r="B6" t="s">
        <v>36</v>
      </c>
      <c r="C6" t="s">
        <v>37</v>
      </c>
      <c r="D6" t="s">
        <v>38</v>
      </c>
      <c r="E6" t="s">
        <v>39</v>
      </c>
      <c r="F6" t="s">
        <v>40</v>
      </c>
      <c r="G6" t="s">
        <v>41</v>
      </c>
    </row>
    <row r="7" spans="1:7" x14ac:dyDescent="0.2">
      <c r="A7" s="1" t="s">
        <v>42</v>
      </c>
      <c r="B7" t="s">
        <v>43</v>
      </c>
      <c r="C7" t="s">
        <v>44</v>
      </c>
      <c r="D7" t="s">
        <v>45</v>
      </c>
      <c r="E7" t="s">
        <v>46</v>
      </c>
      <c r="F7" t="s">
        <v>47</v>
      </c>
      <c r="G7" t="s">
        <v>48</v>
      </c>
    </row>
    <row r="8" spans="1:7" x14ac:dyDescent="0.2">
      <c r="A8" s="1" t="s">
        <v>49</v>
      </c>
      <c r="B8" t="s">
        <v>50</v>
      </c>
      <c r="C8" t="s">
        <v>51</v>
      </c>
      <c r="D8" t="s">
        <v>52</v>
      </c>
      <c r="E8" t="s">
        <v>53</v>
      </c>
      <c r="F8" t="s">
        <v>54</v>
      </c>
      <c r="G8" t="s">
        <v>55</v>
      </c>
    </row>
    <row r="9" spans="1:7" x14ac:dyDescent="0.2">
      <c r="A9" s="1" t="s">
        <v>56</v>
      </c>
      <c r="B9" t="s">
        <v>57</v>
      </c>
      <c r="C9" t="s">
        <v>58</v>
      </c>
      <c r="D9" t="s">
        <v>59</v>
      </c>
      <c r="E9" t="s">
        <v>60</v>
      </c>
      <c r="F9" t="s">
        <v>61</v>
      </c>
      <c r="G9" t="s">
        <v>62</v>
      </c>
    </row>
    <row r="10" spans="1:7" x14ac:dyDescent="0.2">
      <c r="A10" s="1" t="s">
        <v>63</v>
      </c>
      <c r="B10" t="s">
        <v>64</v>
      </c>
      <c r="C10" t="s">
        <v>65</v>
      </c>
      <c r="D10" t="s">
        <v>66</v>
      </c>
      <c r="E10" t="s">
        <v>67</v>
      </c>
      <c r="F10" t="s">
        <v>68</v>
      </c>
      <c r="G10" t="s">
        <v>69</v>
      </c>
    </row>
    <row r="11" spans="1:7" x14ac:dyDescent="0.2">
      <c r="A11" s="1" t="s">
        <v>70</v>
      </c>
      <c r="B11" t="s">
        <v>71</v>
      </c>
      <c r="C11" t="s">
        <v>72</v>
      </c>
      <c r="D11" t="s">
        <v>73</v>
      </c>
      <c r="E11" t="s">
        <v>74</v>
      </c>
      <c r="F11" t="s">
        <v>75</v>
      </c>
      <c r="G11" t="s">
        <v>76</v>
      </c>
    </row>
    <row r="12" spans="1:7" x14ac:dyDescent="0.2">
      <c r="A12" s="1" t="s">
        <v>77</v>
      </c>
      <c r="B12" t="s">
        <v>78</v>
      </c>
      <c r="C12" t="s">
        <v>79</v>
      </c>
      <c r="D12" t="s">
        <v>80</v>
      </c>
      <c r="E12" t="s">
        <v>81</v>
      </c>
      <c r="F12" t="s">
        <v>82</v>
      </c>
      <c r="G12" t="s">
        <v>83</v>
      </c>
    </row>
    <row r="19" spans="1:5" x14ac:dyDescent="0.2">
      <c r="A19" s="1" t="s">
        <v>0</v>
      </c>
      <c r="B19" s="1" t="s">
        <v>84</v>
      </c>
      <c r="C19" s="1" t="s">
        <v>85</v>
      </c>
      <c r="D19" s="1" t="s">
        <v>86</v>
      </c>
      <c r="E19" s="1" t="s">
        <v>87</v>
      </c>
    </row>
    <row r="20" spans="1:5" x14ac:dyDescent="0.2">
      <c r="A20" s="1" t="s">
        <v>88</v>
      </c>
      <c r="B20" t="s">
        <v>89</v>
      </c>
      <c r="C20" t="s">
        <v>90</v>
      </c>
      <c r="D20" t="s">
        <v>91</v>
      </c>
      <c r="E20" t="s">
        <v>92</v>
      </c>
    </row>
    <row r="21" spans="1:5" x14ac:dyDescent="0.2">
      <c r="A21" s="1" t="s">
        <v>93</v>
      </c>
      <c r="B21" t="s">
        <v>94</v>
      </c>
      <c r="C21" t="s">
        <v>95</v>
      </c>
      <c r="D21" t="s">
        <v>96</v>
      </c>
      <c r="E21" t="s">
        <v>97</v>
      </c>
    </row>
    <row r="22" spans="1:5" x14ac:dyDescent="0.2">
      <c r="A22" s="1" t="s">
        <v>98</v>
      </c>
      <c r="B22" t="s">
        <v>99</v>
      </c>
      <c r="C22" t="s">
        <v>100</v>
      </c>
      <c r="D22" t="s">
        <v>101</v>
      </c>
      <c r="E22" t="s">
        <v>102</v>
      </c>
    </row>
    <row r="23" spans="1:5" x14ac:dyDescent="0.2">
      <c r="A23" s="1" t="s">
        <v>103</v>
      </c>
      <c r="B23" t="s">
        <v>104</v>
      </c>
      <c r="C23" t="s">
        <v>105</v>
      </c>
      <c r="D23" t="s">
        <v>106</v>
      </c>
      <c r="E23" t="s">
        <v>107</v>
      </c>
    </row>
    <row r="24" spans="1:5" x14ac:dyDescent="0.2">
      <c r="A24" s="2" t="s">
        <v>108</v>
      </c>
      <c r="B24" t="s">
        <v>109</v>
      </c>
      <c r="C24" t="s">
        <v>110</v>
      </c>
      <c r="D24" t="s">
        <v>111</v>
      </c>
    </row>
    <row r="29" spans="1:5" x14ac:dyDescent="0.2">
      <c r="A29" s="2" t="s">
        <v>112</v>
      </c>
    </row>
    <row r="30" spans="1:5" x14ac:dyDescent="0.2">
      <c r="A30" s="2" t="s">
        <v>113</v>
      </c>
      <c r="B30" s="2" t="s">
        <v>114</v>
      </c>
      <c r="C30" s="2" t="s">
        <v>115</v>
      </c>
      <c r="D30" s="2" t="s">
        <v>116</v>
      </c>
    </row>
    <row r="31" spans="1:5" x14ac:dyDescent="0.2">
      <c r="A31" t="s">
        <v>117</v>
      </c>
      <c r="B31" t="s">
        <v>118</v>
      </c>
      <c r="C31" t="s">
        <v>119</v>
      </c>
      <c r="D31" t="s">
        <v>120</v>
      </c>
    </row>
    <row r="32" spans="1:5" x14ac:dyDescent="0.2">
      <c r="A32" t="s">
        <v>121</v>
      </c>
      <c r="B32" t="s">
        <v>122</v>
      </c>
      <c r="C32" t="s">
        <v>123</v>
      </c>
      <c r="D32" t="s">
        <v>124</v>
      </c>
    </row>
    <row r="33" spans="1:4" x14ac:dyDescent="0.2">
      <c r="A33" t="s">
        <v>125</v>
      </c>
      <c r="B33" t="s">
        <v>126</v>
      </c>
      <c r="C33" t="s">
        <v>127</v>
      </c>
      <c r="D33" t="s">
        <v>128</v>
      </c>
    </row>
    <row r="34" spans="1:4" x14ac:dyDescent="0.2">
      <c r="A34" t="s">
        <v>129</v>
      </c>
      <c r="B34" t="s">
        <v>130</v>
      </c>
      <c r="C34" t="s">
        <v>131</v>
      </c>
      <c r="D34" t="s">
        <v>132</v>
      </c>
    </row>
    <row r="35" spans="1:4" x14ac:dyDescent="0.2">
      <c r="A35" t="s">
        <v>133</v>
      </c>
      <c r="B35" t="s">
        <v>134</v>
      </c>
      <c r="C35" t="s">
        <v>135</v>
      </c>
      <c r="D35" t="s">
        <v>136</v>
      </c>
    </row>
    <row r="42" spans="1:4" x14ac:dyDescent="0.2">
      <c r="A42" s="2" t="s">
        <v>137</v>
      </c>
      <c r="B42" s="2" t="s">
        <v>138</v>
      </c>
    </row>
    <row r="43" spans="1:4" ht="17" x14ac:dyDescent="0.2">
      <c r="A43">
        <v>1</v>
      </c>
      <c r="B43" s="3" t="s">
        <v>139</v>
      </c>
      <c r="D43" s="3"/>
    </row>
    <row r="44" spans="1:4" x14ac:dyDescent="0.2">
      <c r="A44">
        <v>2</v>
      </c>
      <c r="B44" t="s">
        <v>140</v>
      </c>
    </row>
    <row r="45" spans="1:4" x14ac:dyDescent="0.2">
      <c r="A45">
        <v>3</v>
      </c>
      <c r="B45" t="s">
        <v>141</v>
      </c>
    </row>
    <row r="46" spans="1:4" x14ac:dyDescent="0.2">
      <c r="A46">
        <v>4</v>
      </c>
      <c r="B46" t="s">
        <v>142</v>
      </c>
    </row>
    <row r="47" spans="1:4" x14ac:dyDescent="0.2">
      <c r="A47">
        <v>5</v>
      </c>
      <c r="B47" t="s">
        <v>143</v>
      </c>
    </row>
    <row r="48" spans="1:4" x14ac:dyDescent="0.2">
      <c r="A48">
        <v>6</v>
      </c>
      <c r="B48" t="s">
        <v>144</v>
      </c>
    </row>
    <row r="49" spans="1:2" x14ac:dyDescent="0.2">
      <c r="A49">
        <v>7</v>
      </c>
      <c r="B49" t="s">
        <v>145</v>
      </c>
    </row>
    <row r="50" spans="1:2" x14ac:dyDescent="0.2">
      <c r="A50">
        <v>8</v>
      </c>
      <c r="B50" t="s">
        <v>146</v>
      </c>
    </row>
    <row r="51" spans="1:2" x14ac:dyDescent="0.2">
      <c r="A51">
        <v>9</v>
      </c>
      <c r="B51" t="s">
        <v>147</v>
      </c>
    </row>
    <row r="52" spans="1:2" x14ac:dyDescent="0.2">
      <c r="A52">
        <v>10</v>
      </c>
      <c r="B52" t="s">
        <v>148</v>
      </c>
    </row>
    <row r="53" spans="1:2" x14ac:dyDescent="0.2">
      <c r="A53">
        <v>11</v>
      </c>
      <c r="B53" t="s">
        <v>149</v>
      </c>
    </row>
    <row r="55" spans="1:2" x14ac:dyDescent="0.2">
      <c r="A55" s="2" t="s">
        <v>150</v>
      </c>
      <c r="B55" s="2" t="s">
        <v>151</v>
      </c>
    </row>
    <row r="56" spans="1:2" x14ac:dyDescent="0.2">
      <c r="A56">
        <v>1</v>
      </c>
      <c r="B56" t="s">
        <v>152</v>
      </c>
    </row>
    <row r="57" spans="1:2" x14ac:dyDescent="0.2">
      <c r="A57">
        <v>2</v>
      </c>
      <c r="B57" t="s">
        <v>153</v>
      </c>
    </row>
    <row r="58" spans="1:2" x14ac:dyDescent="0.2">
      <c r="A58">
        <v>3</v>
      </c>
      <c r="B58" t="s">
        <v>154</v>
      </c>
    </row>
  </sheetData>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15702-467C-9347-934C-03010494E723}">
  <dimension ref="A1:AA488"/>
  <sheetViews>
    <sheetView workbookViewId="0">
      <selection sqref="A1:AA488"/>
    </sheetView>
  </sheetViews>
  <sheetFormatPr baseColWidth="10" defaultRowHeight="16" x14ac:dyDescent="0.2"/>
  <sheetData>
    <row r="1" spans="1:27" x14ac:dyDescent="0.2">
      <c r="A1" s="2" t="s">
        <v>155</v>
      </c>
      <c r="B1" s="2" t="s">
        <v>156</v>
      </c>
      <c r="C1" s="2" t="s">
        <v>157</v>
      </c>
      <c r="D1" s="2" t="s">
        <v>158</v>
      </c>
      <c r="E1" s="2" t="s">
        <v>159</v>
      </c>
      <c r="F1" s="2" t="s">
        <v>160</v>
      </c>
      <c r="G1" s="2" t="s">
        <v>161</v>
      </c>
      <c r="H1" s="2" t="s">
        <v>162</v>
      </c>
      <c r="I1" s="2" t="s">
        <v>163</v>
      </c>
      <c r="J1" s="2" t="s">
        <v>164</v>
      </c>
      <c r="K1" s="2" t="s">
        <v>165</v>
      </c>
      <c r="L1" s="2" t="s">
        <v>166</v>
      </c>
      <c r="M1" s="2" t="s">
        <v>167</v>
      </c>
      <c r="N1" s="2" t="s">
        <v>168</v>
      </c>
      <c r="O1" s="2" t="s">
        <v>169</v>
      </c>
      <c r="P1" s="2" t="s">
        <v>170</v>
      </c>
      <c r="Q1" s="2" t="s">
        <v>171</v>
      </c>
      <c r="R1" s="2" t="s">
        <v>172</v>
      </c>
      <c r="S1" s="2" t="s">
        <v>173</v>
      </c>
      <c r="T1" s="2" t="s">
        <v>174</v>
      </c>
      <c r="U1" s="2" t="s">
        <v>175</v>
      </c>
      <c r="V1" s="2" t="s">
        <v>176</v>
      </c>
      <c r="W1" s="2" t="s">
        <v>177</v>
      </c>
      <c r="X1" s="2" t="s">
        <v>178</v>
      </c>
      <c r="Y1" s="2" t="s">
        <v>179</v>
      </c>
      <c r="Z1" s="2" t="s">
        <v>180</v>
      </c>
      <c r="AA1" s="2" t="s">
        <v>181</v>
      </c>
    </row>
    <row r="2" spans="1:27" x14ac:dyDescent="0.2">
      <c r="A2">
        <v>1</v>
      </c>
      <c r="B2" t="s">
        <v>117</v>
      </c>
      <c r="C2">
        <v>1</v>
      </c>
      <c r="D2" t="s">
        <v>139</v>
      </c>
      <c r="E2" t="s">
        <v>119</v>
      </c>
      <c r="F2">
        <v>1</v>
      </c>
      <c r="G2" t="s">
        <v>182</v>
      </c>
      <c r="H2" t="s">
        <v>183</v>
      </c>
      <c r="I2" t="s">
        <v>120</v>
      </c>
      <c r="J2">
        <v>2</v>
      </c>
      <c r="K2">
        <v>2</v>
      </c>
      <c r="L2">
        <v>1</v>
      </c>
      <c r="U2">
        <f t="shared" ref="U2:U65" si="0">COUNT(J2:S2)</f>
        <v>3</v>
      </c>
      <c r="V2">
        <f t="shared" ref="V2:V65" si="1">SUM(J2:S2)</f>
        <v>5</v>
      </c>
      <c r="W2" s="4">
        <f t="shared" ref="W2:W62" si="2">IF(U2=0,"",V2/U2)</f>
        <v>1.6666666666666667</v>
      </c>
      <c r="X2" s="4">
        <f t="shared" ref="X2:X65" si="3">IF(W2="","",W2/2*100)</f>
        <v>83.333333333333343</v>
      </c>
      <c r="Z2">
        <f>LEN(H2)</f>
        <v>695</v>
      </c>
      <c r="AA2">
        <f>IF(X2&lt;50,1,0)</f>
        <v>0</v>
      </c>
    </row>
    <row r="3" spans="1:27" x14ac:dyDescent="0.2">
      <c r="A3">
        <v>2</v>
      </c>
      <c r="B3" t="s">
        <v>117</v>
      </c>
      <c r="C3">
        <v>1</v>
      </c>
      <c r="D3" t="s">
        <v>139</v>
      </c>
      <c r="E3" t="s">
        <v>119</v>
      </c>
      <c r="F3">
        <v>1</v>
      </c>
      <c r="G3" t="s">
        <v>182</v>
      </c>
      <c r="H3" t="s">
        <v>184</v>
      </c>
      <c r="I3" t="s">
        <v>120</v>
      </c>
      <c r="J3">
        <v>2</v>
      </c>
      <c r="K3">
        <v>2</v>
      </c>
      <c r="L3">
        <v>1</v>
      </c>
      <c r="U3">
        <f t="shared" si="0"/>
        <v>3</v>
      </c>
      <c r="V3">
        <f t="shared" si="1"/>
        <v>5</v>
      </c>
      <c r="W3" s="4">
        <f t="shared" si="2"/>
        <v>1.6666666666666667</v>
      </c>
      <c r="X3" s="4">
        <f t="shared" si="3"/>
        <v>83.333333333333343</v>
      </c>
      <c r="Z3">
        <f t="shared" ref="Z3:Z66" si="4">LEN(H3)</f>
        <v>810</v>
      </c>
      <c r="AA3">
        <f t="shared" ref="AA3:AA66" si="5">IF(X3&lt;50,1,0)</f>
        <v>0</v>
      </c>
    </row>
    <row r="4" spans="1:27" x14ac:dyDescent="0.2">
      <c r="A4">
        <v>3</v>
      </c>
      <c r="B4" t="s">
        <v>117</v>
      </c>
      <c r="C4">
        <v>1</v>
      </c>
      <c r="D4" t="s">
        <v>139</v>
      </c>
      <c r="E4" t="s">
        <v>119</v>
      </c>
      <c r="F4">
        <v>1</v>
      </c>
      <c r="G4" t="s">
        <v>182</v>
      </c>
      <c r="H4" t="s">
        <v>185</v>
      </c>
      <c r="I4" t="s">
        <v>120</v>
      </c>
      <c r="J4">
        <v>2</v>
      </c>
      <c r="K4">
        <v>2</v>
      </c>
      <c r="L4">
        <v>2</v>
      </c>
      <c r="U4">
        <f t="shared" si="0"/>
        <v>3</v>
      </c>
      <c r="V4">
        <f t="shared" si="1"/>
        <v>6</v>
      </c>
      <c r="W4" s="4">
        <f t="shared" si="2"/>
        <v>2</v>
      </c>
      <c r="X4" s="4">
        <f t="shared" si="3"/>
        <v>100</v>
      </c>
      <c r="Z4">
        <f t="shared" si="4"/>
        <v>896</v>
      </c>
      <c r="AA4">
        <f t="shared" si="5"/>
        <v>0</v>
      </c>
    </row>
    <row r="5" spans="1:27" x14ac:dyDescent="0.2">
      <c r="A5">
        <v>1</v>
      </c>
      <c r="B5" t="s">
        <v>117</v>
      </c>
      <c r="C5">
        <v>1</v>
      </c>
      <c r="D5" t="s">
        <v>139</v>
      </c>
      <c r="E5" t="s">
        <v>119</v>
      </c>
      <c r="F5">
        <v>1</v>
      </c>
      <c r="G5" t="s">
        <v>186</v>
      </c>
      <c r="H5" t="s">
        <v>187</v>
      </c>
      <c r="I5" t="s">
        <v>120</v>
      </c>
      <c r="J5">
        <v>2</v>
      </c>
      <c r="K5">
        <v>2</v>
      </c>
      <c r="L5">
        <v>1</v>
      </c>
      <c r="U5">
        <f t="shared" si="0"/>
        <v>3</v>
      </c>
      <c r="V5">
        <f t="shared" si="1"/>
        <v>5</v>
      </c>
      <c r="W5" s="4">
        <f t="shared" si="2"/>
        <v>1.6666666666666667</v>
      </c>
      <c r="X5" s="4">
        <f t="shared" si="3"/>
        <v>83.333333333333343</v>
      </c>
      <c r="Z5">
        <f t="shared" si="4"/>
        <v>201</v>
      </c>
      <c r="AA5">
        <f t="shared" si="5"/>
        <v>0</v>
      </c>
    </row>
    <row r="6" spans="1:27" x14ac:dyDescent="0.2">
      <c r="A6">
        <v>2</v>
      </c>
      <c r="B6" t="s">
        <v>117</v>
      </c>
      <c r="C6">
        <v>1</v>
      </c>
      <c r="D6" t="s">
        <v>139</v>
      </c>
      <c r="E6" t="s">
        <v>119</v>
      </c>
      <c r="F6">
        <v>1</v>
      </c>
      <c r="G6" t="s">
        <v>186</v>
      </c>
      <c r="H6" t="s">
        <v>188</v>
      </c>
      <c r="I6" t="s">
        <v>120</v>
      </c>
      <c r="J6">
        <v>2</v>
      </c>
      <c r="K6">
        <v>2</v>
      </c>
      <c r="L6">
        <v>2</v>
      </c>
      <c r="U6">
        <f t="shared" si="0"/>
        <v>3</v>
      </c>
      <c r="V6">
        <f t="shared" si="1"/>
        <v>6</v>
      </c>
      <c r="W6" s="4">
        <f t="shared" si="2"/>
        <v>2</v>
      </c>
      <c r="X6" s="4">
        <f t="shared" si="3"/>
        <v>100</v>
      </c>
      <c r="Z6">
        <f t="shared" si="4"/>
        <v>236</v>
      </c>
      <c r="AA6">
        <f t="shared" si="5"/>
        <v>0</v>
      </c>
    </row>
    <row r="7" spans="1:27" x14ac:dyDescent="0.2">
      <c r="A7">
        <v>3</v>
      </c>
      <c r="B7" t="s">
        <v>117</v>
      </c>
      <c r="C7">
        <v>1</v>
      </c>
      <c r="D7" t="s">
        <v>139</v>
      </c>
      <c r="E7" t="s">
        <v>119</v>
      </c>
      <c r="F7">
        <v>1</v>
      </c>
      <c r="G7" t="s">
        <v>186</v>
      </c>
      <c r="H7" t="s">
        <v>189</v>
      </c>
      <c r="I7" t="s">
        <v>120</v>
      </c>
      <c r="J7">
        <v>2</v>
      </c>
      <c r="K7">
        <v>2</v>
      </c>
      <c r="L7">
        <v>2</v>
      </c>
      <c r="U7">
        <f t="shared" si="0"/>
        <v>3</v>
      </c>
      <c r="V7">
        <f t="shared" si="1"/>
        <v>6</v>
      </c>
      <c r="W7" s="4">
        <f t="shared" si="2"/>
        <v>2</v>
      </c>
      <c r="X7" s="4">
        <f t="shared" si="3"/>
        <v>100</v>
      </c>
      <c r="Z7">
        <f t="shared" si="4"/>
        <v>268</v>
      </c>
      <c r="AA7">
        <f t="shared" si="5"/>
        <v>0</v>
      </c>
    </row>
    <row r="8" spans="1:27" x14ac:dyDescent="0.2">
      <c r="A8">
        <v>1</v>
      </c>
      <c r="B8" t="s">
        <v>117</v>
      </c>
      <c r="C8">
        <v>1</v>
      </c>
      <c r="D8" t="s">
        <v>139</v>
      </c>
      <c r="E8" t="s">
        <v>119</v>
      </c>
      <c r="F8">
        <v>1</v>
      </c>
      <c r="G8" t="s">
        <v>190</v>
      </c>
      <c r="H8" t="s">
        <v>191</v>
      </c>
      <c r="I8" t="s">
        <v>120</v>
      </c>
      <c r="J8">
        <v>1</v>
      </c>
      <c r="K8">
        <v>1</v>
      </c>
      <c r="L8">
        <v>2</v>
      </c>
      <c r="U8">
        <f t="shared" si="0"/>
        <v>3</v>
      </c>
      <c r="V8">
        <f t="shared" si="1"/>
        <v>4</v>
      </c>
      <c r="W8" s="4">
        <f t="shared" si="2"/>
        <v>1.3333333333333333</v>
      </c>
      <c r="X8" s="4">
        <f t="shared" si="3"/>
        <v>66.666666666666657</v>
      </c>
      <c r="Z8">
        <f t="shared" si="4"/>
        <v>730</v>
      </c>
      <c r="AA8">
        <f t="shared" si="5"/>
        <v>0</v>
      </c>
    </row>
    <row r="9" spans="1:27" x14ac:dyDescent="0.2">
      <c r="A9">
        <v>2</v>
      </c>
      <c r="B9" t="s">
        <v>117</v>
      </c>
      <c r="C9">
        <v>1</v>
      </c>
      <c r="D9" t="s">
        <v>139</v>
      </c>
      <c r="E9" t="s">
        <v>119</v>
      </c>
      <c r="F9">
        <v>1</v>
      </c>
      <c r="G9" t="s">
        <v>190</v>
      </c>
      <c r="H9" t="s">
        <v>192</v>
      </c>
      <c r="I9" t="s">
        <v>120</v>
      </c>
      <c r="J9">
        <v>1</v>
      </c>
      <c r="K9">
        <v>1</v>
      </c>
      <c r="L9">
        <v>1</v>
      </c>
      <c r="U9">
        <f t="shared" si="0"/>
        <v>3</v>
      </c>
      <c r="V9">
        <f t="shared" si="1"/>
        <v>3</v>
      </c>
      <c r="W9" s="4">
        <f t="shared" si="2"/>
        <v>1</v>
      </c>
      <c r="X9" s="4">
        <f t="shared" si="3"/>
        <v>50</v>
      </c>
      <c r="Z9">
        <f t="shared" si="4"/>
        <v>857</v>
      </c>
      <c r="AA9">
        <f t="shared" si="5"/>
        <v>0</v>
      </c>
    </row>
    <row r="10" spans="1:27" x14ac:dyDescent="0.2">
      <c r="A10">
        <v>3</v>
      </c>
      <c r="B10" t="s">
        <v>117</v>
      </c>
      <c r="C10">
        <v>1</v>
      </c>
      <c r="D10" t="s">
        <v>139</v>
      </c>
      <c r="E10" t="s">
        <v>119</v>
      </c>
      <c r="F10">
        <v>1</v>
      </c>
      <c r="G10" t="s">
        <v>190</v>
      </c>
      <c r="H10" t="s">
        <v>193</v>
      </c>
      <c r="I10" t="s">
        <v>120</v>
      </c>
      <c r="J10">
        <v>2</v>
      </c>
      <c r="K10">
        <v>2</v>
      </c>
      <c r="L10">
        <v>2</v>
      </c>
      <c r="U10">
        <f t="shared" si="0"/>
        <v>3</v>
      </c>
      <c r="V10">
        <f t="shared" si="1"/>
        <v>6</v>
      </c>
      <c r="W10" s="4">
        <f t="shared" si="2"/>
        <v>2</v>
      </c>
      <c r="X10" s="4">
        <f t="shared" si="3"/>
        <v>100</v>
      </c>
      <c r="Z10">
        <f t="shared" si="4"/>
        <v>678</v>
      </c>
      <c r="AA10">
        <f t="shared" si="5"/>
        <v>0</v>
      </c>
    </row>
    <row r="11" spans="1:27" x14ac:dyDescent="0.2">
      <c r="A11">
        <v>1</v>
      </c>
      <c r="B11" t="s">
        <v>117</v>
      </c>
      <c r="C11">
        <v>1</v>
      </c>
      <c r="D11" t="s">
        <v>139</v>
      </c>
      <c r="E11" t="s">
        <v>119</v>
      </c>
      <c r="F11">
        <v>1</v>
      </c>
      <c r="G11" t="s">
        <v>194</v>
      </c>
      <c r="H11" t="s">
        <v>195</v>
      </c>
      <c r="I11" t="s">
        <v>120</v>
      </c>
      <c r="J11">
        <v>2</v>
      </c>
      <c r="K11">
        <v>2</v>
      </c>
      <c r="L11">
        <v>2</v>
      </c>
      <c r="U11">
        <f t="shared" si="0"/>
        <v>3</v>
      </c>
      <c r="V11">
        <f t="shared" si="1"/>
        <v>6</v>
      </c>
      <c r="W11" s="4">
        <f t="shared" si="2"/>
        <v>2</v>
      </c>
      <c r="X11" s="4">
        <f t="shared" si="3"/>
        <v>100</v>
      </c>
      <c r="Z11">
        <f t="shared" si="4"/>
        <v>202</v>
      </c>
      <c r="AA11">
        <f t="shared" si="5"/>
        <v>0</v>
      </c>
    </row>
    <row r="12" spans="1:27" x14ac:dyDescent="0.2">
      <c r="A12">
        <v>2</v>
      </c>
      <c r="B12" t="s">
        <v>117</v>
      </c>
      <c r="C12">
        <v>1</v>
      </c>
      <c r="D12" t="s">
        <v>139</v>
      </c>
      <c r="E12" t="s">
        <v>119</v>
      </c>
      <c r="F12">
        <v>1</v>
      </c>
      <c r="G12" t="s">
        <v>194</v>
      </c>
      <c r="H12" t="s">
        <v>196</v>
      </c>
      <c r="I12" t="s">
        <v>120</v>
      </c>
      <c r="J12">
        <v>2</v>
      </c>
      <c r="K12">
        <v>2</v>
      </c>
      <c r="L12">
        <v>2</v>
      </c>
      <c r="U12">
        <f t="shared" si="0"/>
        <v>3</v>
      </c>
      <c r="V12">
        <f t="shared" si="1"/>
        <v>6</v>
      </c>
      <c r="W12" s="4">
        <f t="shared" si="2"/>
        <v>2</v>
      </c>
      <c r="X12" s="4">
        <f t="shared" si="3"/>
        <v>100</v>
      </c>
      <c r="Z12">
        <f t="shared" si="4"/>
        <v>338</v>
      </c>
      <c r="AA12">
        <f t="shared" si="5"/>
        <v>0</v>
      </c>
    </row>
    <row r="13" spans="1:27" x14ac:dyDescent="0.2">
      <c r="A13">
        <v>3</v>
      </c>
      <c r="B13" t="s">
        <v>117</v>
      </c>
      <c r="C13">
        <v>1</v>
      </c>
      <c r="D13" t="s">
        <v>139</v>
      </c>
      <c r="E13" t="s">
        <v>119</v>
      </c>
      <c r="F13">
        <v>1</v>
      </c>
      <c r="G13" t="s">
        <v>194</v>
      </c>
      <c r="H13" t="s">
        <v>197</v>
      </c>
      <c r="I13" t="s">
        <v>120</v>
      </c>
      <c r="J13">
        <v>2</v>
      </c>
      <c r="K13">
        <v>2</v>
      </c>
      <c r="L13">
        <v>2</v>
      </c>
      <c r="U13">
        <f t="shared" si="0"/>
        <v>3</v>
      </c>
      <c r="V13">
        <f t="shared" si="1"/>
        <v>6</v>
      </c>
      <c r="W13" s="4">
        <f t="shared" si="2"/>
        <v>2</v>
      </c>
      <c r="X13" s="4">
        <f t="shared" si="3"/>
        <v>100</v>
      </c>
      <c r="Z13">
        <f t="shared" si="4"/>
        <v>294</v>
      </c>
      <c r="AA13">
        <f t="shared" si="5"/>
        <v>0</v>
      </c>
    </row>
    <row r="14" spans="1:27" x14ac:dyDescent="0.2">
      <c r="A14">
        <v>1</v>
      </c>
      <c r="B14" t="s">
        <v>117</v>
      </c>
      <c r="C14">
        <v>1</v>
      </c>
      <c r="D14" t="s">
        <v>139</v>
      </c>
      <c r="E14" t="s">
        <v>119</v>
      </c>
      <c r="F14">
        <v>1</v>
      </c>
      <c r="G14" t="s">
        <v>198</v>
      </c>
      <c r="H14" t="s">
        <v>199</v>
      </c>
      <c r="I14" t="s">
        <v>120</v>
      </c>
      <c r="J14">
        <v>0</v>
      </c>
      <c r="K14">
        <v>1</v>
      </c>
      <c r="L14">
        <v>1</v>
      </c>
      <c r="U14">
        <f t="shared" si="0"/>
        <v>3</v>
      </c>
      <c r="V14">
        <f t="shared" si="1"/>
        <v>2</v>
      </c>
      <c r="W14" s="4">
        <f t="shared" si="2"/>
        <v>0.66666666666666663</v>
      </c>
      <c r="X14" s="4">
        <f t="shared" si="3"/>
        <v>33.333333333333329</v>
      </c>
      <c r="Z14">
        <f t="shared" si="4"/>
        <v>1685</v>
      </c>
      <c r="AA14">
        <f t="shared" si="5"/>
        <v>1</v>
      </c>
    </row>
    <row r="15" spans="1:27" x14ac:dyDescent="0.2">
      <c r="A15">
        <v>2</v>
      </c>
      <c r="B15" t="s">
        <v>117</v>
      </c>
      <c r="C15">
        <v>1</v>
      </c>
      <c r="D15" t="s">
        <v>139</v>
      </c>
      <c r="E15" t="s">
        <v>119</v>
      </c>
      <c r="F15">
        <v>1</v>
      </c>
      <c r="G15" t="s">
        <v>198</v>
      </c>
      <c r="H15" t="s">
        <v>200</v>
      </c>
      <c r="I15" t="s">
        <v>120</v>
      </c>
      <c r="J15">
        <v>1</v>
      </c>
      <c r="K15">
        <v>2</v>
      </c>
      <c r="L15">
        <v>1</v>
      </c>
      <c r="U15">
        <f t="shared" si="0"/>
        <v>3</v>
      </c>
      <c r="V15">
        <f t="shared" si="1"/>
        <v>4</v>
      </c>
      <c r="W15" s="4">
        <f t="shared" si="2"/>
        <v>1.3333333333333333</v>
      </c>
      <c r="X15" s="4">
        <f t="shared" si="3"/>
        <v>66.666666666666657</v>
      </c>
      <c r="Z15">
        <f t="shared" si="4"/>
        <v>1544</v>
      </c>
      <c r="AA15">
        <f t="shared" si="5"/>
        <v>0</v>
      </c>
    </row>
    <row r="16" spans="1:27" x14ac:dyDescent="0.2">
      <c r="A16">
        <v>3</v>
      </c>
      <c r="B16" t="s">
        <v>117</v>
      </c>
      <c r="C16">
        <v>1</v>
      </c>
      <c r="D16" t="s">
        <v>139</v>
      </c>
      <c r="E16" t="s">
        <v>119</v>
      </c>
      <c r="F16">
        <v>1</v>
      </c>
      <c r="G16" t="s">
        <v>198</v>
      </c>
      <c r="H16" t="s">
        <v>201</v>
      </c>
      <c r="I16" t="s">
        <v>120</v>
      </c>
      <c r="J16">
        <v>2</v>
      </c>
      <c r="K16">
        <v>2</v>
      </c>
      <c r="L16">
        <v>2</v>
      </c>
      <c r="U16">
        <f t="shared" si="0"/>
        <v>3</v>
      </c>
      <c r="V16">
        <f t="shared" si="1"/>
        <v>6</v>
      </c>
      <c r="W16" s="4">
        <f t="shared" si="2"/>
        <v>2</v>
      </c>
      <c r="X16" s="4">
        <f t="shared" si="3"/>
        <v>100</v>
      </c>
      <c r="Z16">
        <f t="shared" si="4"/>
        <v>1491</v>
      </c>
      <c r="AA16">
        <f t="shared" si="5"/>
        <v>0</v>
      </c>
    </row>
    <row r="17" spans="1:27" x14ac:dyDescent="0.2">
      <c r="A17">
        <v>1</v>
      </c>
      <c r="B17" t="s">
        <v>117</v>
      </c>
      <c r="C17">
        <v>1</v>
      </c>
      <c r="D17" t="s">
        <v>139</v>
      </c>
      <c r="E17" t="s">
        <v>119</v>
      </c>
      <c r="F17">
        <v>1</v>
      </c>
      <c r="G17" t="s">
        <v>202</v>
      </c>
      <c r="H17" t="s">
        <v>203</v>
      </c>
      <c r="I17" t="s">
        <v>120</v>
      </c>
      <c r="J17">
        <v>1</v>
      </c>
      <c r="K17">
        <v>2</v>
      </c>
      <c r="L17">
        <v>2</v>
      </c>
      <c r="U17">
        <f t="shared" si="0"/>
        <v>3</v>
      </c>
      <c r="V17">
        <f t="shared" si="1"/>
        <v>5</v>
      </c>
      <c r="W17" s="4">
        <f t="shared" si="2"/>
        <v>1.6666666666666667</v>
      </c>
      <c r="X17" s="4">
        <f t="shared" si="3"/>
        <v>83.333333333333343</v>
      </c>
      <c r="Z17">
        <f t="shared" si="4"/>
        <v>683</v>
      </c>
      <c r="AA17">
        <f t="shared" si="5"/>
        <v>0</v>
      </c>
    </row>
    <row r="18" spans="1:27" x14ac:dyDescent="0.2">
      <c r="A18">
        <v>2</v>
      </c>
      <c r="B18" t="s">
        <v>117</v>
      </c>
      <c r="C18">
        <v>1</v>
      </c>
      <c r="D18" t="s">
        <v>139</v>
      </c>
      <c r="E18" t="s">
        <v>119</v>
      </c>
      <c r="F18">
        <v>1</v>
      </c>
      <c r="G18" t="s">
        <v>202</v>
      </c>
      <c r="H18" t="s">
        <v>204</v>
      </c>
      <c r="I18" t="s">
        <v>120</v>
      </c>
      <c r="J18">
        <v>0</v>
      </c>
      <c r="K18">
        <v>1</v>
      </c>
      <c r="L18">
        <v>1</v>
      </c>
      <c r="U18">
        <f t="shared" si="0"/>
        <v>3</v>
      </c>
      <c r="V18">
        <f t="shared" si="1"/>
        <v>2</v>
      </c>
      <c r="W18" s="4">
        <f t="shared" si="2"/>
        <v>0.66666666666666663</v>
      </c>
      <c r="X18" s="4">
        <f t="shared" si="3"/>
        <v>33.333333333333329</v>
      </c>
      <c r="Z18">
        <f t="shared" si="4"/>
        <v>776</v>
      </c>
      <c r="AA18">
        <f t="shared" si="5"/>
        <v>1</v>
      </c>
    </row>
    <row r="19" spans="1:27" x14ac:dyDescent="0.2">
      <c r="A19">
        <v>3</v>
      </c>
      <c r="B19" t="s">
        <v>117</v>
      </c>
      <c r="C19">
        <v>1</v>
      </c>
      <c r="D19" t="s">
        <v>139</v>
      </c>
      <c r="E19" t="s">
        <v>119</v>
      </c>
      <c r="F19">
        <v>1</v>
      </c>
      <c r="G19" t="s">
        <v>202</v>
      </c>
      <c r="H19" t="s">
        <v>205</v>
      </c>
      <c r="I19" t="s">
        <v>120</v>
      </c>
      <c r="J19">
        <v>2</v>
      </c>
      <c r="K19">
        <v>2</v>
      </c>
      <c r="L19">
        <v>2</v>
      </c>
      <c r="U19">
        <f t="shared" si="0"/>
        <v>3</v>
      </c>
      <c r="V19">
        <f t="shared" si="1"/>
        <v>6</v>
      </c>
      <c r="W19" s="4">
        <f t="shared" si="2"/>
        <v>2</v>
      </c>
      <c r="X19" s="4">
        <f t="shared" si="3"/>
        <v>100</v>
      </c>
      <c r="Z19">
        <f t="shared" si="4"/>
        <v>906</v>
      </c>
      <c r="AA19">
        <f t="shared" si="5"/>
        <v>0</v>
      </c>
    </row>
    <row r="20" spans="1:27" x14ac:dyDescent="0.2">
      <c r="A20">
        <v>1</v>
      </c>
      <c r="B20" t="s">
        <v>117</v>
      </c>
      <c r="C20">
        <v>1</v>
      </c>
      <c r="D20" t="s">
        <v>139</v>
      </c>
      <c r="E20" t="s">
        <v>119</v>
      </c>
      <c r="F20">
        <v>1</v>
      </c>
      <c r="G20" t="s">
        <v>206</v>
      </c>
      <c r="H20" t="s">
        <v>207</v>
      </c>
      <c r="I20" t="s">
        <v>120</v>
      </c>
      <c r="J20">
        <v>2</v>
      </c>
      <c r="K20">
        <v>2</v>
      </c>
      <c r="L20">
        <v>2</v>
      </c>
      <c r="U20">
        <f t="shared" si="0"/>
        <v>3</v>
      </c>
      <c r="V20">
        <f t="shared" si="1"/>
        <v>6</v>
      </c>
      <c r="W20" s="4">
        <f t="shared" si="2"/>
        <v>2</v>
      </c>
      <c r="X20" s="4">
        <f t="shared" si="3"/>
        <v>100</v>
      </c>
      <c r="Z20">
        <f t="shared" si="4"/>
        <v>167</v>
      </c>
      <c r="AA20">
        <f t="shared" si="5"/>
        <v>0</v>
      </c>
    </row>
    <row r="21" spans="1:27" x14ac:dyDescent="0.2">
      <c r="A21">
        <v>2</v>
      </c>
      <c r="B21" t="s">
        <v>117</v>
      </c>
      <c r="C21">
        <v>1</v>
      </c>
      <c r="D21" t="s">
        <v>139</v>
      </c>
      <c r="E21" t="s">
        <v>119</v>
      </c>
      <c r="F21">
        <v>1</v>
      </c>
      <c r="G21" t="s">
        <v>206</v>
      </c>
      <c r="H21" t="s">
        <v>208</v>
      </c>
      <c r="I21" t="s">
        <v>120</v>
      </c>
      <c r="J21">
        <v>2</v>
      </c>
      <c r="K21">
        <v>2</v>
      </c>
      <c r="L21">
        <v>2</v>
      </c>
      <c r="U21">
        <f t="shared" si="0"/>
        <v>3</v>
      </c>
      <c r="V21">
        <f t="shared" si="1"/>
        <v>6</v>
      </c>
      <c r="W21" s="4">
        <f t="shared" si="2"/>
        <v>2</v>
      </c>
      <c r="X21" s="4">
        <f t="shared" si="3"/>
        <v>100</v>
      </c>
      <c r="Z21">
        <f t="shared" si="4"/>
        <v>208</v>
      </c>
      <c r="AA21">
        <f t="shared" si="5"/>
        <v>0</v>
      </c>
    </row>
    <row r="22" spans="1:27" x14ac:dyDescent="0.2">
      <c r="A22">
        <v>3</v>
      </c>
      <c r="B22" t="s">
        <v>117</v>
      </c>
      <c r="C22">
        <v>1</v>
      </c>
      <c r="D22" t="s">
        <v>139</v>
      </c>
      <c r="E22" t="s">
        <v>119</v>
      </c>
      <c r="F22">
        <v>1</v>
      </c>
      <c r="G22" t="s">
        <v>206</v>
      </c>
      <c r="H22" t="s">
        <v>209</v>
      </c>
      <c r="I22" t="s">
        <v>120</v>
      </c>
      <c r="J22">
        <v>2</v>
      </c>
      <c r="K22">
        <v>2</v>
      </c>
      <c r="L22">
        <v>2</v>
      </c>
      <c r="U22">
        <f t="shared" si="0"/>
        <v>3</v>
      </c>
      <c r="V22">
        <f t="shared" si="1"/>
        <v>6</v>
      </c>
      <c r="W22" s="4">
        <f t="shared" si="2"/>
        <v>2</v>
      </c>
      <c r="X22" s="4">
        <f t="shared" si="3"/>
        <v>100</v>
      </c>
      <c r="Z22">
        <f t="shared" si="4"/>
        <v>304</v>
      </c>
      <c r="AA22">
        <f t="shared" si="5"/>
        <v>0</v>
      </c>
    </row>
    <row r="23" spans="1:27" x14ac:dyDescent="0.2">
      <c r="A23">
        <v>1</v>
      </c>
      <c r="B23" t="s">
        <v>117</v>
      </c>
      <c r="C23">
        <v>1</v>
      </c>
      <c r="D23" t="s">
        <v>139</v>
      </c>
      <c r="E23" t="s">
        <v>119</v>
      </c>
      <c r="F23">
        <v>1</v>
      </c>
      <c r="G23" t="s">
        <v>210</v>
      </c>
      <c r="H23" t="s">
        <v>211</v>
      </c>
      <c r="I23" t="s">
        <v>120</v>
      </c>
      <c r="J23">
        <v>1</v>
      </c>
      <c r="K23">
        <v>2</v>
      </c>
      <c r="L23">
        <v>1</v>
      </c>
      <c r="U23">
        <f t="shared" si="0"/>
        <v>3</v>
      </c>
      <c r="V23">
        <f t="shared" si="1"/>
        <v>4</v>
      </c>
      <c r="W23" s="4">
        <f t="shared" si="2"/>
        <v>1.3333333333333333</v>
      </c>
      <c r="X23" s="4">
        <f t="shared" si="3"/>
        <v>66.666666666666657</v>
      </c>
      <c r="Z23">
        <f t="shared" si="4"/>
        <v>692</v>
      </c>
      <c r="AA23">
        <f t="shared" si="5"/>
        <v>0</v>
      </c>
    </row>
    <row r="24" spans="1:27" x14ac:dyDescent="0.2">
      <c r="A24">
        <v>2</v>
      </c>
      <c r="B24" t="s">
        <v>117</v>
      </c>
      <c r="C24">
        <v>1</v>
      </c>
      <c r="D24" t="s">
        <v>139</v>
      </c>
      <c r="E24" t="s">
        <v>119</v>
      </c>
      <c r="F24">
        <v>1</v>
      </c>
      <c r="G24" t="s">
        <v>210</v>
      </c>
      <c r="H24" t="s">
        <v>212</v>
      </c>
      <c r="I24" t="s">
        <v>120</v>
      </c>
      <c r="J24">
        <v>2</v>
      </c>
      <c r="K24">
        <v>2</v>
      </c>
      <c r="L24">
        <v>2</v>
      </c>
      <c r="U24">
        <f t="shared" si="0"/>
        <v>3</v>
      </c>
      <c r="V24">
        <f t="shared" si="1"/>
        <v>6</v>
      </c>
      <c r="W24" s="4">
        <f t="shared" si="2"/>
        <v>2</v>
      </c>
      <c r="X24" s="4">
        <f t="shared" si="3"/>
        <v>100</v>
      </c>
      <c r="Z24">
        <f t="shared" si="4"/>
        <v>789</v>
      </c>
      <c r="AA24">
        <f t="shared" si="5"/>
        <v>0</v>
      </c>
    </row>
    <row r="25" spans="1:27" x14ac:dyDescent="0.2">
      <c r="A25">
        <v>3</v>
      </c>
      <c r="B25" t="s">
        <v>117</v>
      </c>
      <c r="C25">
        <v>1</v>
      </c>
      <c r="D25" t="s">
        <v>139</v>
      </c>
      <c r="E25" t="s">
        <v>119</v>
      </c>
      <c r="F25">
        <v>1</v>
      </c>
      <c r="G25" t="s">
        <v>210</v>
      </c>
      <c r="H25" t="s">
        <v>213</v>
      </c>
      <c r="I25" t="s">
        <v>120</v>
      </c>
      <c r="J25">
        <v>2</v>
      </c>
      <c r="K25">
        <v>2</v>
      </c>
      <c r="L25">
        <v>2</v>
      </c>
      <c r="U25">
        <f t="shared" si="0"/>
        <v>3</v>
      </c>
      <c r="V25">
        <f t="shared" si="1"/>
        <v>6</v>
      </c>
      <c r="W25" s="4">
        <f t="shared" si="2"/>
        <v>2</v>
      </c>
      <c r="X25" s="4">
        <f t="shared" si="3"/>
        <v>100</v>
      </c>
      <c r="Z25">
        <f>LEN(H25)</f>
        <v>813</v>
      </c>
      <c r="AA25">
        <f t="shared" si="5"/>
        <v>0</v>
      </c>
    </row>
    <row r="26" spans="1:27" x14ac:dyDescent="0.2">
      <c r="A26">
        <v>1</v>
      </c>
      <c r="B26" t="s">
        <v>117</v>
      </c>
      <c r="C26">
        <v>1</v>
      </c>
      <c r="D26" t="s">
        <v>139</v>
      </c>
      <c r="E26" t="s">
        <v>119</v>
      </c>
      <c r="F26">
        <v>1</v>
      </c>
      <c r="G26" t="s">
        <v>214</v>
      </c>
      <c r="H26" t="s">
        <v>215</v>
      </c>
      <c r="I26" t="s">
        <v>120</v>
      </c>
      <c r="J26">
        <v>2</v>
      </c>
      <c r="K26">
        <v>2</v>
      </c>
      <c r="L26">
        <v>2</v>
      </c>
      <c r="U26">
        <f t="shared" si="0"/>
        <v>3</v>
      </c>
      <c r="V26">
        <f t="shared" si="1"/>
        <v>6</v>
      </c>
      <c r="W26" s="4">
        <f t="shared" si="2"/>
        <v>2</v>
      </c>
      <c r="X26" s="4">
        <f t="shared" si="3"/>
        <v>100</v>
      </c>
      <c r="Z26">
        <f t="shared" si="4"/>
        <v>267</v>
      </c>
      <c r="AA26">
        <f t="shared" si="5"/>
        <v>0</v>
      </c>
    </row>
    <row r="27" spans="1:27" x14ac:dyDescent="0.2">
      <c r="A27">
        <v>2</v>
      </c>
      <c r="B27" t="s">
        <v>117</v>
      </c>
      <c r="C27">
        <v>1</v>
      </c>
      <c r="D27" t="s">
        <v>139</v>
      </c>
      <c r="E27" t="s">
        <v>119</v>
      </c>
      <c r="F27">
        <v>1</v>
      </c>
      <c r="G27" t="s">
        <v>214</v>
      </c>
      <c r="H27" t="s">
        <v>216</v>
      </c>
      <c r="I27" t="s">
        <v>120</v>
      </c>
      <c r="J27">
        <v>2</v>
      </c>
      <c r="K27">
        <v>2</v>
      </c>
      <c r="L27">
        <v>1</v>
      </c>
      <c r="U27">
        <f t="shared" si="0"/>
        <v>3</v>
      </c>
      <c r="V27">
        <f t="shared" si="1"/>
        <v>5</v>
      </c>
      <c r="W27" s="4">
        <f t="shared" si="2"/>
        <v>1.6666666666666667</v>
      </c>
      <c r="X27" s="4">
        <f t="shared" si="3"/>
        <v>83.333333333333343</v>
      </c>
      <c r="Z27">
        <f t="shared" si="4"/>
        <v>372</v>
      </c>
      <c r="AA27">
        <f t="shared" si="5"/>
        <v>0</v>
      </c>
    </row>
    <row r="28" spans="1:27" x14ac:dyDescent="0.2">
      <c r="A28">
        <v>3</v>
      </c>
      <c r="B28" t="s">
        <v>117</v>
      </c>
      <c r="C28">
        <v>1</v>
      </c>
      <c r="D28" t="s">
        <v>139</v>
      </c>
      <c r="E28" t="s">
        <v>119</v>
      </c>
      <c r="F28">
        <v>1</v>
      </c>
      <c r="G28" t="s">
        <v>214</v>
      </c>
      <c r="H28" t="s">
        <v>217</v>
      </c>
      <c r="I28" t="s">
        <v>120</v>
      </c>
      <c r="J28">
        <v>2</v>
      </c>
      <c r="K28">
        <v>2</v>
      </c>
      <c r="L28">
        <v>2</v>
      </c>
      <c r="U28">
        <f t="shared" si="0"/>
        <v>3</v>
      </c>
      <c r="V28">
        <f t="shared" si="1"/>
        <v>6</v>
      </c>
      <c r="W28" s="4">
        <f t="shared" si="2"/>
        <v>2</v>
      </c>
      <c r="X28" s="4">
        <f t="shared" si="3"/>
        <v>100</v>
      </c>
      <c r="Z28">
        <f t="shared" si="4"/>
        <v>293</v>
      </c>
      <c r="AA28">
        <f t="shared" si="5"/>
        <v>0</v>
      </c>
    </row>
    <row r="29" spans="1:27" x14ac:dyDescent="0.2">
      <c r="A29">
        <v>1</v>
      </c>
      <c r="B29" t="s">
        <v>117</v>
      </c>
      <c r="C29">
        <v>1</v>
      </c>
      <c r="D29" t="s">
        <v>139</v>
      </c>
      <c r="E29" t="s">
        <v>119</v>
      </c>
      <c r="F29">
        <v>1</v>
      </c>
      <c r="G29" t="s">
        <v>218</v>
      </c>
      <c r="H29" t="s">
        <v>219</v>
      </c>
      <c r="I29" t="s">
        <v>120</v>
      </c>
      <c r="J29">
        <v>2</v>
      </c>
      <c r="K29">
        <v>2</v>
      </c>
      <c r="L29">
        <v>2</v>
      </c>
      <c r="U29">
        <f t="shared" si="0"/>
        <v>3</v>
      </c>
      <c r="V29">
        <f t="shared" si="1"/>
        <v>6</v>
      </c>
      <c r="W29" s="4">
        <f t="shared" si="2"/>
        <v>2</v>
      </c>
      <c r="X29" s="4">
        <f t="shared" si="3"/>
        <v>100</v>
      </c>
      <c r="Z29">
        <f t="shared" si="4"/>
        <v>1627</v>
      </c>
      <c r="AA29">
        <f t="shared" si="5"/>
        <v>0</v>
      </c>
    </row>
    <row r="30" spans="1:27" x14ac:dyDescent="0.2">
      <c r="A30">
        <v>2</v>
      </c>
      <c r="B30" t="s">
        <v>117</v>
      </c>
      <c r="C30">
        <v>1</v>
      </c>
      <c r="D30" t="s">
        <v>139</v>
      </c>
      <c r="E30" t="s">
        <v>119</v>
      </c>
      <c r="F30">
        <v>1</v>
      </c>
      <c r="G30" t="s">
        <v>218</v>
      </c>
      <c r="H30" t="s">
        <v>220</v>
      </c>
      <c r="I30" t="s">
        <v>120</v>
      </c>
      <c r="J30">
        <v>2</v>
      </c>
      <c r="K30">
        <v>1</v>
      </c>
      <c r="L30">
        <v>1</v>
      </c>
      <c r="U30">
        <f t="shared" si="0"/>
        <v>3</v>
      </c>
      <c r="V30">
        <f t="shared" si="1"/>
        <v>4</v>
      </c>
      <c r="W30" s="4">
        <f t="shared" si="2"/>
        <v>1.3333333333333333</v>
      </c>
      <c r="X30" s="4">
        <f t="shared" si="3"/>
        <v>66.666666666666657</v>
      </c>
      <c r="Z30">
        <f t="shared" si="4"/>
        <v>1589</v>
      </c>
      <c r="AA30">
        <f t="shared" si="5"/>
        <v>0</v>
      </c>
    </row>
    <row r="31" spans="1:27" x14ac:dyDescent="0.2">
      <c r="A31">
        <v>3</v>
      </c>
      <c r="B31" t="s">
        <v>117</v>
      </c>
      <c r="C31">
        <v>1</v>
      </c>
      <c r="D31" t="s">
        <v>139</v>
      </c>
      <c r="E31" t="s">
        <v>119</v>
      </c>
      <c r="F31">
        <v>1</v>
      </c>
      <c r="G31" t="s">
        <v>218</v>
      </c>
      <c r="H31" t="s">
        <v>221</v>
      </c>
      <c r="I31" t="s">
        <v>120</v>
      </c>
      <c r="J31">
        <v>1</v>
      </c>
      <c r="K31">
        <v>2</v>
      </c>
      <c r="L31">
        <v>2</v>
      </c>
      <c r="U31">
        <f t="shared" si="0"/>
        <v>3</v>
      </c>
      <c r="V31">
        <f t="shared" si="1"/>
        <v>5</v>
      </c>
      <c r="W31" s="4">
        <f t="shared" si="2"/>
        <v>1.6666666666666667</v>
      </c>
      <c r="X31" s="4">
        <f t="shared" si="3"/>
        <v>83.333333333333343</v>
      </c>
      <c r="Y31" t="s">
        <v>222</v>
      </c>
      <c r="Z31">
        <f t="shared" si="4"/>
        <v>1463</v>
      </c>
      <c r="AA31">
        <f t="shared" si="5"/>
        <v>0</v>
      </c>
    </row>
    <row r="32" spans="1:27" x14ac:dyDescent="0.2">
      <c r="A32">
        <v>1</v>
      </c>
      <c r="B32" t="s">
        <v>117</v>
      </c>
      <c r="C32">
        <v>1</v>
      </c>
      <c r="D32" t="s">
        <v>139</v>
      </c>
      <c r="E32" t="s">
        <v>119</v>
      </c>
      <c r="F32">
        <v>1</v>
      </c>
      <c r="G32" t="s">
        <v>223</v>
      </c>
      <c r="H32" t="s">
        <v>224</v>
      </c>
      <c r="I32" t="s">
        <v>120</v>
      </c>
      <c r="J32">
        <v>2</v>
      </c>
      <c r="K32">
        <v>2</v>
      </c>
      <c r="L32">
        <v>1</v>
      </c>
      <c r="U32">
        <f t="shared" si="0"/>
        <v>3</v>
      </c>
      <c r="V32">
        <f t="shared" si="1"/>
        <v>5</v>
      </c>
      <c r="W32" s="4">
        <f t="shared" si="2"/>
        <v>1.6666666666666667</v>
      </c>
      <c r="X32" s="4">
        <f t="shared" si="3"/>
        <v>83.333333333333343</v>
      </c>
      <c r="Z32">
        <f t="shared" si="4"/>
        <v>800</v>
      </c>
      <c r="AA32">
        <f t="shared" si="5"/>
        <v>0</v>
      </c>
    </row>
    <row r="33" spans="1:27" x14ac:dyDescent="0.2">
      <c r="A33">
        <v>2</v>
      </c>
      <c r="B33" t="s">
        <v>117</v>
      </c>
      <c r="C33">
        <v>1</v>
      </c>
      <c r="D33" t="s">
        <v>139</v>
      </c>
      <c r="E33" t="s">
        <v>119</v>
      </c>
      <c r="F33">
        <v>1</v>
      </c>
      <c r="G33" t="s">
        <v>223</v>
      </c>
      <c r="H33" t="s">
        <v>225</v>
      </c>
      <c r="I33" t="s">
        <v>120</v>
      </c>
      <c r="J33">
        <v>2</v>
      </c>
      <c r="K33">
        <v>2</v>
      </c>
      <c r="L33">
        <v>2</v>
      </c>
      <c r="U33">
        <f t="shared" si="0"/>
        <v>3</v>
      </c>
      <c r="V33">
        <f t="shared" si="1"/>
        <v>6</v>
      </c>
      <c r="W33" s="4">
        <f t="shared" si="2"/>
        <v>2</v>
      </c>
      <c r="X33" s="4">
        <f t="shared" si="3"/>
        <v>100</v>
      </c>
      <c r="Y33" t="s">
        <v>226</v>
      </c>
      <c r="Z33">
        <f t="shared" si="4"/>
        <v>782</v>
      </c>
      <c r="AA33">
        <f t="shared" si="5"/>
        <v>0</v>
      </c>
    </row>
    <row r="34" spans="1:27" x14ac:dyDescent="0.2">
      <c r="A34">
        <v>3</v>
      </c>
      <c r="B34" t="s">
        <v>117</v>
      </c>
      <c r="C34">
        <v>1</v>
      </c>
      <c r="D34" t="s">
        <v>139</v>
      </c>
      <c r="E34" t="s">
        <v>119</v>
      </c>
      <c r="F34">
        <v>1</v>
      </c>
      <c r="G34" t="s">
        <v>223</v>
      </c>
      <c r="H34" t="s">
        <v>227</v>
      </c>
      <c r="I34" t="s">
        <v>120</v>
      </c>
      <c r="J34">
        <v>2</v>
      </c>
      <c r="K34">
        <v>2</v>
      </c>
      <c r="L34">
        <v>2</v>
      </c>
      <c r="U34">
        <f t="shared" si="0"/>
        <v>3</v>
      </c>
      <c r="V34">
        <f t="shared" si="1"/>
        <v>6</v>
      </c>
      <c r="W34" s="4">
        <f t="shared" si="2"/>
        <v>2</v>
      </c>
      <c r="X34" s="4">
        <f t="shared" si="3"/>
        <v>100</v>
      </c>
      <c r="Y34" t="s">
        <v>228</v>
      </c>
      <c r="Z34">
        <f t="shared" si="4"/>
        <v>953</v>
      </c>
      <c r="AA34">
        <f t="shared" si="5"/>
        <v>0</v>
      </c>
    </row>
    <row r="35" spans="1:27" x14ac:dyDescent="0.2">
      <c r="A35">
        <v>1</v>
      </c>
      <c r="B35" t="s">
        <v>117</v>
      </c>
      <c r="C35">
        <v>1</v>
      </c>
      <c r="D35" t="s">
        <v>139</v>
      </c>
      <c r="E35" t="s">
        <v>119</v>
      </c>
      <c r="F35">
        <v>1</v>
      </c>
      <c r="G35" t="s">
        <v>229</v>
      </c>
      <c r="H35" t="s">
        <v>230</v>
      </c>
      <c r="I35" t="s">
        <v>120</v>
      </c>
      <c r="J35">
        <v>2</v>
      </c>
      <c r="K35">
        <v>2</v>
      </c>
      <c r="L35">
        <v>2</v>
      </c>
      <c r="U35">
        <f t="shared" si="0"/>
        <v>3</v>
      </c>
      <c r="V35">
        <f t="shared" si="1"/>
        <v>6</v>
      </c>
      <c r="W35" s="4">
        <f t="shared" si="2"/>
        <v>2</v>
      </c>
      <c r="X35" s="4">
        <f t="shared" si="3"/>
        <v>100</v>
      </c>
      <c r="Z35">
        <f t="shared" si="4"/>
        <v>139</v>
      </c>
      <c r="AA35">
        <f t="shared" si="5"/>
        <v>0</v>
      </c>
    </row>
    <row r="36" spans="1:27" x14ac:dyDescent="0.2">
      <c r="A36">
        <v>2</v>
      </c>
      <c r="B36" t="s">
        <v>117</v>
      </c>
      <c r="C36">
        <v>1</v>
      </c>
      <c r="D36" t="s">
        <v>139</v>
      </c>
      <c r="E36" t="s">
        <v>119</v>
      </c>
      <c r="F36">
        <v>1</v>
      </c>
      <c r="G36" t="s">
        <v>229</v>
      </c>
      <c r="H36" t="s">
        <v>231</v>
      </c>
      <c r="I36" t="s">
        <v>120</v>
      </c>
      <c r="J36">
        <v>2</v>
      </c>
      <c r="K36">
        <v>2</v>
      </c>
      <c r="L36">
        <v>2</v>
      </c>
      <c r="U36">
        <f t="shared" si="0"/>
        <v>3</v>
      </c>
      <c r="V36">
        <f t="shared" si="1"/>
        <v>6</v>
      </c>
      <c r="W36" s="4">
        <f t="shared" si="2"/>
        <v>2</v>
      </c>
      <c r="X36" s="4">
        <f t="shared" si="3"/>
        <v>100</v>
      </c>
      <c r="Z36">
        <f t="shared" si="4"/>
        <v>196</v>
      </c>
      <c r="AA36">
        <f t="shared" si="5"/>
        <v>0</v>
      </c>
    </row>
    <row r="37" spans="1:27" x14ac:dyDescent="0.2">
      <c r="A37">
        <v>3</v>
      </c>
      <c r="B37" t="s">
        <v>117</v>
      </c>
      <c r="C37">
        <v>1</v>
      </c>
      <c r="D37" t="s">
        <v>139</v>
      </c>
      <c r="E37" t="s">
        <v>119</v>
      </c>
      <c r="F37">
        <v>1</v>
      </c>
      <c r="G37" t="s">
        <v>229</v>
      </c>
      <c r="H37" t="s">
        <v>232</v>
      </c>
      <c r="I37" t="s">
        <v>120</v>
      </c>
      <c r="J37">
        <v>0</v>
      </c>
      <c r="K37">
        <v>0</v>
      </c>
      <c r="L37">
        <v>0</v>
      </c>
      <c r="U37">
        <f t="shared" si="0"/>
        <v>3</v>
      </c>
      <c r="V37">
        <f t="shared" si="1"/>
        <v>0</v>
      </c>
      <c r="W37" s="4">
        <f t="shared" si="2"/>
        <v>0</v>
      </c>
      <c r="X37" s="4">
        <f t="shared" si="3"/>
        <v>0</v>
      </c>
      <c r="Y37" t="s">
        <v>233</v>
      </c>
      <c r="Z37">
        <f t="shared" si="4"/>
        <v>24</v>
      </c>
      <c r="AA37">
        <f t="shared" si="5"/>
        <v>1</v>
      </c>
    </row>
    <row r="38" spans="1:27" x14ac:dyDescent="0.2">
      <c r="A38">
        <v>3</v>
      </c>
      <c r="B38" t="s">
        <v>117</v>
      </c>
      <c r="C38">
        <v>1</v>
      </c>
      <c r="D38" t="s">
        <v>139</v>
      </c>
      <c r="E38" t="s">
        <v>119</v>
      </c>
      <c r="F38">
        <v>2</v>
      </c>
      <c r="G38" t="s">
        <v>229</v>
      </c>
      <c r="H38" t="s">
        <v>234</v>
      </c>
      <c r="I38" t="s">
        <v>120</v>
      </c>
      <c r="J38">
        <v>2</v>
      </c>
      <c r="K38">
        <v>1</v>
      </c>
      <c r="L38">
        <v>2</v>
      </c>
      <c r="U38">
        <f t="shared" si="0"/>
        <v>3</v>
      </c>
      <c r="V38">
        <f t="shared" si="1"/>
        <v>5</v>
      </c>
      <c r="W38" s="4">
        <f t="shared" si="2"/>
        <v>1.6666666666666667</v>
      </c>
      <c r="X38" s="4">
        <f t="shared" si="3"/>
        <v>83.333333333333343</v>
      </c>
      <c r="Z38">
        <f t="shared" si="4"/>
        <v>178</v>
      </c>
      <c r="AA38">
        <f t="shared" si="5"/>
        <v>0</v>
      </c>
    </row>
    <row r="39" spans="1:27" x14ac:dyDescent="0.2">
      <c r="A39">
        <v>1</v>
      </c>
      <c r="B39" t="s">
        <v>117</v>
      </c>
      <c r="C39">
        <v>1</v>
      </c>
      <c r="D39" t="s">
        <v>139</v>
      </c>
      <c r="E39" t="s">
        <v>119</v>
      </c>
      <c r="F39">
        <v>1</v>
      </c>
      <c r="G39" t="s">
        <v>235</v>
      </c>
      <c r="H39" t="s">
        <v>236</v>
      </c>
      <c r="I39" t="s">
        <v>120</v>
      </c>
      <c r="J39">
        <v>1</v>
      </c>
      <c r="K39">
        <v>1</v>
      </c>
      <c r="L39">
        <v>1</v>
      </c>
      <c r="U39">
        <f t="shared" si="0"/>
        <v>3</v>
      </c>
      <c r="V39">
        <f t="shared" si="1"/>
        <v>3</v>
      </c>
      <c r="W39" s="4">
        <f t="shared" si="2"/>
        <v>1</v>
      </c>
      <c r="X39" s="4">
        <f t="shared" si="3"/>
        <v>50</v>
      </c>
      <c r="Z39">
        <f t="shared" si="4"/>
        <v>741</v>
      </c>
      <c r="AA39">
        <f t="shared" si="5"/>
        <v>0</v>
      </c>
    </row>
    <row r="40" spans="1:27" x14ac:dyDescent="0.2">
      <c r="A40">
        <v>2</v>
      </c>
      <c r="B40" t="s">
        <v>117</v>
      </c>
      <c r="C40">
        <v>1</v>
      </c>
      <c r="D40" t="s">
        <v>139</v>
      </c>
      <c r="E40" t="s">
        <v>119</v>
      </c>
      <c r="F40">
        <v>1</v>
      </c>
      <c r="G40" t="s">
        <v>235</v>
      </c>
      <c r="H40" t="s">
        <v>237</v>
      </c>
      <c r="I40" t="s">
        <v>120</v>
      </c>
      <c r="J40">
        <v>2</v>
      </c>
      <c r="K40">
        <v>2</v>
      </c>
      <c r="L40">
        <v>2</v>
      </c>
      <c r="U40">
        <f t="shared" si="0"/>
        <v>3</v>
      </c>
      <c r="V40">
        <f t="shared" si="1"/>
        <v>6</v>
      </c>
      <c r="W40" s="4">
        <f t="shared" si="2"/>
        <v>2</v>
      </c>
      <c r="X40" s="4">
        <f t="shared" si="3"/>
        <v>100</v>
      </c>
      <c r="Z40">
        <f t="shared" si="4"/>
        <v>827</v>
      </c>
      <c r="AA40">
        <f t="shared" si="5"/>
        <v>0</v>
      </c>
    </row>
    <row r="41" spans="1:27" x14ac:dyDescent="0.2">
      <c r="A41">
        <v>3</v>
      </c>
      <c r="B41" t="s">
        <v>117</v>
      </c>
      <c r="C41">
        <v>1</v>
      </c>
      <c r="D41" t="s">
        <v>139</v>
      </c>
      <c r="E41" t="s">
        <v>119</v>
      </c>
      <c r="F41">
        <v>1</v>
      </c>
      <c r="G41" t="s">
        <v>235</v>
      </c>
      <c r="H41" t="s">
        <v>238</v>
      </c>
      <c r="I41" t="s">
        <v>120</v>
      </c>
      <c r="J41">
        <v>2</v>
      </c>
      <c r="K41">
        <v>2</v>
      </c>
      <c r="L41">
        <v>2</v>
      </c>
      <c r="U41">
        <f t="shared" si="0"/>
        <v>3</v>
      </c>
      <c r="V41">
        <f t="shared" si="1"/>
        <v>6</v>
      </c>
      <c r="W41" s="4">
        <f t="shared" si="2"/>
        <v>2</v>
      </c>
      <c r="X41" s="4">
        <f t="shared" si="3"/>
        <v>100</v>
      </c>
      <c r="Z41">
        <f t="shared" si="4"/>
        <v>739</v>
      </c>
      <c r="AA41">
        <f t="shared" si="5"/>
        <v>0</v>
      </c>
    </row>
    <row r="42" spans="1:27" x14ac:dyDescent="0.2">
      <c r="A42">
        <v>1</v>
      </c>
      <c r="B42" t="s">
        <v>117</v>
      </c>
      <c r="C42">
        <v>1</v>
      </c>
      <c r="D42" t="s">
        <v>139</v>
      </c>
      <c r="E42" t="s">
        <v>119</v>
      </c>
      <c r="F42">
        <v>1</v>
      </c>
      <c r="G42" t="s">
        <v>239</v>
      </c>
      <c r="H42" t="s">
        <v>240</v>
      </c>
      <c r="I42" t="s">
        <v>120</v>
      </c>
      <c r="J42">
        <v>2</v>
      </c>
      <c r="K42">
        <v>2</v>
      </c>
      <c r="L42">
        <v>2</v>
      </c>
      <c r="U42">
        <f t="shared" si="0"/>
        <v>3</v>
      </c>
      <c r="V42">
        <f t="shared" si="1"/>
        <v>6</v>
      </c>
      <c r="W42" s="4">
        <f t="shared" si="2"/>
        <v>2</v>
      </c>
      <c r="X42" s="4">
        <f t="shared" si="3"/>
        <v>100</v>
      </c>
      <c r="Z42">
        <f t="shared" si="4"/>
        <v>220</v>
      </c>
      <c r="AA42">
        <f t="shared" si="5"/>
        <v>0</v>
      </c>
    </row>
    <row r="43" spans="1:27" x14ac:dyDescent="0.2">
      <c r="A43">
        <v>2</v>
      </c>
      <c r="B43" t="s">
        <v>117</v>
      </c>
      <c r="C43">
        <v>1</v>
      </c>
      <c r="D43" t="s">
        <v>139</v>
      </c>
      <c r="E43" t="s">
        <v>119</v>
      </c>
      <c r="F43">
        <v>1</v>
      </c>
      <c r="G43" t="s">
        <v>239</v>
      </c>
      <c r="H43" t="s">
        <v>241</v>
      </c>
      <c r="I43" t="s">
        <v>120</v>
      </c>
      <c r="J43">
        <v>2</v>
      </c>
      <c r="K43">
        <v>2</v>
      </c>
      <c r="L43">
        <v>2</v>
      </c>
      <c r="U43">
        <f t="shared" si="0"/>
        <v>3</v>
      </c>
      <c r="V43">
        <f t="shared" si="1"/>
        <v>6</v>
      </c>
      <c r="W43" s="4">
        <f t="shared" si="2"/>
        <v>2</v>
      </c>
      <c r="X43" s="4">
        <f t="shared" si="3"/>
        <v>100</v>
      </c>
      <c r="Z43">
        <f t="shared" si="4"/>
        <v>337</v>
      </c>
      <c r="AA43">
        <f t="shared" si="5"/>
        <v>0</v>
      </c>
    </row>
    <row r="44" spans="1:27" x14ac:dyDescent="0.2">
      <c r="A44">
        <v>3</v>
      </c>
      <c r="B44" t="s">
        <v>117</v>
      </c>
      <c r="C44">
        <v>1</v>
      </c>
      <c r="D44" t="s">
        <v>139</v>
      </c>
      <c r="E44" t="s">
        <v>119</v>
      </c>
      <c r="F44">
        <v>1</v>
      </c>
      <c r="G44" t="s">
        <v>239</v>
      </c>
      <c r="H44" t="s">
        <v>242</v>
      </c>
      <c r="I44" t="s">
        <v>120</v>
      </c>
      <c r="J44">
        <v>2</v>
      </c>
      <c r="K44">
        <v>2</v>
      </c>
      <c r="L44">
        <v>1</v>
      </c>
      <c r="U44">
        <f t="shared" si="0"/>
        <v>3</v>
      </c>
      <c r="V44">
        <f t="shared" si="1"/>
        <v>5</v>
      </c>
      <c r="W44" s="4">
        <f t="shared" si="2"/>
        <v>1.6666666666666667</v>
      </c>
      <c r="X44" s="4">
        <f t="shared" si="3"/>
        <v>83.333333333333343</v>
      </c>
      <c r="Z44">
        <f t="shared" si="4"/>
        <v>260</v>
      </c>
      <c r="AA44">
        <f t="shared" si="5"/>
        <v>0</v>
      </c>
    </row>
    <row r="45" spans="1:27" x14ac:dyDescent="0.2">
      <c r="A45">
        <v>1</v>
      </c>
      <c r="B45" t="s">
        <v>117</v>
      </c>
      <c r="C45">
        <v>1</v>
      </c>
      <c r="D45" t="s">
        <v>139</v>
      </c>
      <c r="E45" t="s">
        <v>119</v>
      </c>
      <c r="F45">
        <v>1</v>
      </c>
      <c r="G45" t="s">
        <v>243</v>
      </c>
      <c r="H45" t="s">
        <v>244</v>
      </c>
      <c r="I45" t="s">
        <v>120</v>
      </c>
      <c r="J45">
        <v>2</v>
      </c>
      <c r="K45">
        <v>2</v>
      </c>
      <c r="L45">
        <v>2</v>
      </c>
      <c r="U45">
        <f t="shared" si="0"/>
        <v>3</v>
      </c>
      <c r="V45">
        <f t="shared" si="1"/>
        <v>6</v>
      </c>
      <c r="W45" s="4">
        <f t="shared" si="2"/>
        <v>2</v>
      </c>
      <c r="X45" s="4">
        <f t="shared" si="3"/>
        <v>100</v>
      </c>
      <c r="Z45">
        <f t="shared" si="4"/>
        <v>1571</v>
      </c>
      <c r="AA45">
        <f t="shared" si="5"/>
        <v>0</v>
      </c>
    </row>
    <row r="46" spans="1:27" x14ac:dyDescent="0.2">
      <c r="A46">
        <v>2</v>
      </c>
      <c r="B46" t="s">
        <v>117</v>
      </c>
      <c r="C46">
        <v>1</v>
      </c>
      <c r="D46" t="s">
        <v>139</v>
      </c>
      <c r="E46" t="s">
        <v>119</v>
      </c>
      <c r="F46">
        <v>1</v>
      </c>
      <c r="G46" t="s">
        <v>243</v>
      </c>
      <c r="H46" t="s">
        <v>245</v>
      </c>
      <c r="I46" t="s">
        <v>120</v>
      </c>
      <c r="J46">
        <v>2</v>
      </c>
      <c r="K46">
        <v>2</v>
      </c>
      <c r="L46">
        <v>2</v>
      </c>
      <c r="U46">
        <f t="shared" si="0"/>
        <v>3</v>
      </c>
      <c r="V46">
        <f t="shared" si="1"/>
        <v>6</v>
      </c>
      <c r="W46" s="4">
        <f t="shared" si="2"/>
        <v>2</v>
      </c>
      <c r="X46" s="4">
        <f t="shared" si="3"/>
        <v>100</v>
      </c>
      <c r="Z46">
        <f t="shared" si="4"/>
        <v>1388</v>
      </c>
      <c r="AA46">
        <f t="shared" si="5"/>
        <v>0</v>
      </c>
    </row>
    <row r="47" spans="1:27" x14ac:dyDescent="0.2">
      <c r="A47">
        <v>3</v>
      </c>
      <c r="B47" t="s">
        <v>117</v>
      </c>
      <c r="C47">
        <v>1</v>
      </c>
      <c r="D47" t="s">
        <v>139</v>
      </c>
      <c r="E47" t="s">
        <v>119</v>
      </c>
      <c r="F47">
        <v>1</v>
      </c>
      <c r="G47" t="s">
        <v>243</v>
      </c>
      <c r="H47" t="s">
        <v>246</v>
      </c>
      <c r="I47" t="s">
        <v>120</v>
      </c>
      <c r="J47">
        <v>1</v>
      </c>
      <c r="K47">
        <v>2</v>
      </c>
      <c r="L47">
        <v>1</v>
      </c>
      <c r="U47">
        <f t="shared" si="0"/>
        <v>3</v>
      </c>
      <c r="V47">
        <f t="shared" si="1"/>
        <v>4</v>
      </c>
      <c r="W47" s="4">
        <f t="shared" si="2"/>
        <v>1.3333333333333333</v>
      </c>
      <c r="X47" s="4">
        <f t="shared" si="3"/>
        <v>66.666666666666657</v>
      </c>
      <c r="Y47" t="s">
        <v>247</v>
      </c>
      <c r="Z47">
        <f t="shared" si="4"/>
        <v>1466</v>
      </c>
      <c r="AA47">
        <f t="shared" si="5"/>
        <v>0</v>
      </c>
    </row>
    <row r="48" spans="1:27" x14ac:dyDescent="0.2">
      <c r="A48">
        <v>1</v>
      </c>
      <c r="B48" t="s">
        <v>117</v>
      </c>
      <c r="C48">
        <v>1</v>
      </c>
      <c r="D48" t="s">
        <v>139</v>
      </c>
      <c r="E48" t="s">
        <v>119</v>
      </c>
      <c r="F48">
        <v>1</v>
      </c>
      <c r="G48" t="s">
        <v>248</v>
      </c>
      <c r="H48" t="s">
        <v>249</v>
      </c>
      <c r="I48" t="s">
        <v>120</v>
      </c>
      <c r="J48">
        <v>2</v>
      </c>
      <c r="K48">
        <v>2</v>
      </c>
      <c r="L48">
        <v>2</v>
      </c>
      <c r="U48">
        <f t="shared" si="0"/>
        <v>3</v>
      </c>
      <c r="V48">
        <f t="shared" si="1"/>
        <v>6</v>
      </c>
      <c r="W48" s="4">
        <f t="shared" si="2"/>
        <v>2</v>
      </c>
      <c r="X48" s="4">
        <f t="shared" si="3"/>
        <v>100</v>
      </c>
      <c r="Z48">
        <f t="shared" si="4"/>
        <v>847</v>
      </c>
      <c r="AA48">
        <f>IF(X48&lt;50,1,0)</f>
        <v>0</v>
      </c>
    </row>
    <row r="49" spans="1:27" x14ac:dyDescent="0.2">
      <c r="A49">
        <v>2</v>
      </c>
      <c r="B49" t="s">
        <v>117</v>
      </c>
      <c r="C49">
        <v>1</v>
      </c>
      <c r="D49" t="s">
        <v>139</v>
      </c>
      <c r="E49" t="s">
        <v>119</v>
      </c>
      <c r="F49">
        <v>1</v>
      </c>
      <c r="G49" t="s">
        <v>248</v>
      </c>
      <c r="H49" t="s">
        <v>250</v>
      </c>
      <c r="I49" t="s">
        <v>120</v>
      </c>
      <c r="J49">
        <v>2</v>
      </c>
      <c r="K49">
        <v>2</v>
      </c>
      <c r="L49">
        <v>1</v>
      </c>
      <c r="U49">
        <f t="shared" si="0"/>
        <v>3</v>
      </c>
      <c r="V49">
        <f t="shared" si="1"/>
        <v>5</v>
      </c>
      <c r="W49" s="4">
        <f t="shared" si="2"/>
        <v>1.6666666666666667</v>
      </c>
      <c r="X49" s="4">
        <f t="shared" si="3"/>
        <v>83.333333333333343</v>
      </c>
      <c r="Z49">
        <f t="shared" si="4"/>
        <v>849</v>
      </c>
      <c r="AA49">
        <f t="shared" si="5"/>
        <v>0</v>
      </c>
    </row>
    <row r="50" spans="1:27" x14ac:dyDescent="0.2">
      <c r="A50">
        <v>3</v>
      </c>
      <c r="B50" t="s">
        <v>117</v>
      </c>
      <c r="C50">
        <v>1</v>
      </c>
      <c r="D50" t="s">
        <v>139</v>
      </c>
      <c r="E50" t="s">
        <v>119</v>
      </c>
      <c r="F50">
        <v>1</v>
      </c>
      <c r="G50" t="s">
        <v>248</v>
      </c>
      <c r="H50" t="s">
        <v>251</v>
      </c>
      <c r="I50" t="s">
        <v>120</v>
      </c>
      <c r="J50">
        <v>2</v>
      </c>
      <c r="K50">
        <v>2</v>
      </c>
      <c r="L50">
        <v>2</v>
      </c>
      <c r="U50">
        <f t="shared" si="0"/>
        <v>3</v>
      </c>
      <c r="V50">
        <f t="shared" si="1"/>
        <v>6</v>
      </c>
      <c r="W50" s="4">
        <f t="shared" si="2"/>
        <v>2</v>
      </c>
      <c r="X50" s="4">
        <f t="shared" si="3"/>
        <v>100</v>
      </c>
      <c r="Y50" t="s">
        <v>228</v>
      </c>
      <c r="Z50">
        <f t="shared" si="4"/>
        <v>956</v>
      </c>
      <c r="AA50">
        <f t="shared" si="5"/>
        <v>0</v>
      </c>
    </row>
    <row r="51" spans="1:27" x14ac:dyDescent="0.2">
      <c r="A51">
        <v>1</v>
      </c>
      <c r="B51" t="s">
        <v>117</v>
      </c>
      <c r="C51">
        <v>1</v>
      </c>
      <c r="D51" t="s">
        <v>139</v>
      </c>
      <c r="E51" t="s">
        <v>119</v>
      </c>
      <c r="F51">
        <v>1</v>
      </c>
      <c r="G51" t="s">
        <v>252</v>
      </c>
      <c r="H51" t="s">
        <v>253</v>
      </c>
      <c r="I51" t="s">
        <v>120</v>
      </c>
      <c r="J51">
        <v>2</v>
      </c>
      <c r="K51">
        <v>2</v>
      </c>
      <c r="L51">
        <v>2</v>
      </c>
      <c r="U51">
        <f t="shared" si="0"/>
        <v>3</v>
      </c>
      <c r="V51">
        <f t="shared" si="1"/>
        <v>6</v>
      </c>
      <c r="W51" s="4">
        <f t="shared" si="2"/>
        <v>2</v>
      </c>
      <c r="X51" s="4">
        <f t="shared" si="3"/>
        <v>100</v>
      </c>
      <c r="Z51">
        <f t="shared" si="4"/>
        <v>157</v>
      </c>
      <c r="AA51">
        <f t="shared" si="5"/>
        <v>0</v>
      </c>
    </row>
    <row r="52" spans="1:27" x14ac:dyDescent="0.2">
      <c r="A52">
        <v>2</v>
      </c>
      <c r="B52" t="s">
        <v>117</v>
      </c>
      <c r="C52">
        <v>1</v>
      </c>
      <c r="D52" t="s">
        <v>139</v>
      </c>
      <c r="E52" t="s">
        <v>119</v>
      </c>
      <c r="F52">
        <v>1</v>
      </c>
      <c r="G52" t="s">
        <v>252</v>
      </c>
      <c r="H52" t="s">
        <v>254</v>
      </c>
      <c r="I52" t="s">
        <v>120</v>
      </c>
      <c r="J52">
        <v>1</v>
      </c>
      <c r="K52">
        <v>2</v>
      </c>
      <c r="L52">
        <v>1</v>
      </c>
      <c r="U52">
        <f t="shared" si="0"/>
        <v>3</v>
      </c>
      <c r="V52">
        <f t="shared" si="1"/>
        <v>4</v>
      </c>
      <c r="W52" s="4">
        <f t="shared" si="2"/>
        <v>1.3333333333333333</v>
      </c>
      <c r="X52" s="4">
        <f t="shared" si="3"/>
        <v>66.666666666666657</v>
      </c>
      <c r="Y52" t="s">
        <v>222</v>
      </c>
      <c r="Z52">
        <f t="shared" si="4"/>
        <v>290</v>
      </c>
      <c r="AA52">
        <f t="shared" si="5"/>
        <v>0</v>
      </c>
    </row>
    <row r="53" spans="1:27" x14ac:dyDescent="0.2">
      <c r="A53">
        <v>3</v>
      </c>
      <c r="B53" t="s">
        <v>117</v>
      </c>
      <c r="C53">
        <v>1</v>
      </c>
      <c r="D53" t="s">
        <v>139</v>
      </c>
      <c r="E53" t="s">
        <v>119</v>
      </c>
      <c r="F53">
        <v>1</v>
      </c>
      <c r="G53" t="s">
        <v>252</v>
      </c>
      <c r="H53" t="s">
        <v>255</v>
      </c>
      <c r="I53" t="s">
        <v>120</v>
      </c>
      <c r="J53">
        <v>2</v>
      </c>
      <c r="K53">
        <v>2</v>
      </c>
      <c r="L53">
        <v>2</v>
      </c>
      <c r="U53">
        <f t="shared" si="0"/>
        <v>3</v>
      </c>
      <c r="V53">
        <f t="shared" si="1"/>
        <v>6</v>
      </c>
      <c r="W53" s="4">
        <f t="shared" si="2"/>
        <v>2</v>
      </c>
      <c r="X53" s="4">
        <f t="shared" si="3"/>
        <v>100</v>
      </c>
      <c r="Z53">
        <f t="shared" si="4"/>
        <v>214</v>
      </c>
      <c r="AA53">
        <f t="shared" si="5"/>
        <v>0</v>
      </c>
    </row>
    <row r="54" spans="1:27" x14ac:dyDescent="0.2">
      <c r="A54">
        <v>1</v>
      </c>
      <c r="B54" t="s">
        <v>117</v>
      </c>
      <c r="C54">
        <v>1</v>
      </c>
      <c r="D54" t="s">
        <v>139</v>
      </c>
      <c r="E54" t="s">
        <v>119</v>
      </c>
      <c r="F54">
        <v>1</v>
      </c>
      <c r="G54" t="s">
        <v>256</v>
      </c>
      <c r="H54" t="s">
        <v>257</v>
      </c>
      <c r="I54" t="s">
        <v>120</v>
      </c>
      <c r="J54">
        <v>1</v>
      </c>
      <c r="K54">
        <v>1</v>
      </c>
      <c r="L54">
        <v>1</v>
      </c>
      <c r="U54">
        <f t="shared" si="0"/>
        <v>3</v>
      </c>
      <c r="V54">
        <f t="shared" si="1"/>
        <v>3</v>
      </c>
      <c r="W54" s="4">
        <f t="shared" si="2"/>
        <v>1</v>
      </c>
      <c r="X54" s="4">
        <f t="shared" si="3"/>
        <v>50</v>
      </c>
      <c r="Y54" t="s">
        <v>258</v>
      </c>
      <c r="Z54">
        <f t="shared" si="4"/>
        <v>840</v>
      </c>
      <c r="AA54">
        <f t="shared" si="5"/>
        <v>0</v>
      </c>
    </row>
    <row r="55" spans="1:27" x14ac:dyDescent="0.2">
      <c r="A55">
        <v>2</v>
      </c>
      <c r="B55" t="s">
        <v>117</v>
      </c>
      <c r="C55">
        <v>1</v>
      </c>
      <c r="D55" t="s">
        <v>139</v>
      </c>
      <c r="E55" t="s">
        <v>119</v>
      </c>
      <c r="F55">
        <v>1</v>
      </c>
      <c r="G55" t="s">
        <v>256</v>
      </c>
      <c r="H55" t="s">
        <v>259</v>
      </c>
      <c r="I55" t="s">
        <v>120</v>
      </c>
      <c r="J55">
        <v>2</v>
      </c>
      <c r="K55">
        <v>2</v>
      </c>
      <c r="L55">
        <v>2</v>
      </c>
      <c r="U55">
        <f t="shared" si="0"/>
        <v>3</v>
      </c>
      <c r="V55">
        <f t="shared" si="1"/>
        <v>6</v>
      </c>
      <c r="W55" s="4">
        <f t="shared" si="2"/>
        <v>2</v>
      </c>
      <c r="X55" s="4">
        <f t="shared" si="3"/>
        <v>100</v>
      </c>
      <c r="Z55">
        <f t="shared" si="4"/>
        <v>820</v>
      </c>
      <c r="AA55">
        <f t="shared" si="5"/>
        <v>0</v>
      </c>
    </row>
    <row r="56" spans="1:27" x14ac:dyDescent="0.2">
      <c r="A56">
        <v>3</v>
      </c>
      <c r="B56" t="s">
        <v>117</v>
      </c>
      <c r="C56">
        <v>1</v>
      </c>
      <c r="D56" t="s">
        <v>139</v>
      </c>
      <c r="E56" t="s">
        <v>119</v>
      </c>
      <c r="F56">
        <v>1</v>
      </c>
      <c r="G56" t="s">
        <v>256</v>
      </c>
      <c r="H56" t="s">
        <v>260</v>
      </c>
      <c r="I56" t="s">
        <v>120</v>
      </c>
      <c r="J56">
        <v>2</v>
      </c>
      <c r="K56">
        <v>2</v>
      </c>
      <c r="L56">
        <v>2</v>
      </c>
      <c r="U56">
        <f t="shared" si="0"/>
        <v>3</v>
      </c>
      <c r="V56">
        <f t="shared" si="1"/>
        <v>6</v>
      </c>
      <c r="W56" s="4">
        <f t="shared" si="2"/>
        <v>2</v>
      </c>
      <c r="X56" s="4">
        <f t="shared" si="3"/>
        <v>100</v>
      </c>
      <c r="Z56">
        <f t="shared" si="4"/>
        <v>876</v>
      </c>
      <c r="AA56">
        <f t="shared" si="5"/>
        <v>0</v>
      </c>
    </row>
    <row r="57" spans="1:27" x14ac:dyDescent="0.2">
      <c r="A57">
        <v>1</v>
      </c>
      <c r="B57" t="s">
        <v>117</v>
      </c>
      <c r="C57">
        <v>1</v>
      </c>
      <c r="D57" t="s">
        <v>139</v>
      </c>
      <c r="E57" t="s">
        <v>119</v>
      </c>
      <c r="F57">
        <v>1</v>
      </c>
      <c r="G57" t="s">
        <v>261</v>
      </c>
      <c r="H57" t="s">
        <v>262</v>
      </c>
      <c r="I57" t="s">
        <v>120</v>
      </c>
      <c r="J57">
        <v>0</v>
      </c>
      <c r="K57">
        <v>0</v>
      </c>
      <c r="L57">
        <v>0</v>
      </c>
      <c r="U57">
        <f t="shared" si="0"/>
        <v>3</v>
      </c>
      <c r="V57">
        <f t="shared" si="1"/>
        <v>0</v>
      </c>
      <c r="W57" s="4">
        <f t="shared" si="2"/>
        <v>0</v>
      </c>
      <c r="X57" s="4">
        <f t="shared" si="3"/>
        <v>0</v>
      </c>
      <c r="Y57" t="s">
        <v>263</v>
      </c>
      <c r="Z57">
        <f t="shared" si="4"/>
        <v>132</v>
      </c>
      <c r="AA57">
        <f t="shared" si="5"/>
        <v>1</v>
      </c>
    </row>
    <row r="58" spans="1:27" x14ac:dyDescent="0.2">
      <c r="A58">
        <v>2</v>
      </c>
      <c r="B58" t="s">
        <v>117</v>
      </c>
      <c r="C58">
        <v>1</v>
      </c>
      <c r="D58" t="s">
        <v>139</v>
      </c>
      <c r="E58" t="s">
        <v>119</v>
      </c>
      <c r="F58">
        <v>1</v>
      </c>
      <c r="G58" t="s">
        <v>261</v>
      </c>
      <c r="H58" t="s">
        <v>262</v>
      </c>
      <c r="I58" t="s">
        <v>120</v>
      </c>
      <c r="J58">
        <v>0</v>
      </c>
      <c r="K58">
        <v>0</v>
      </c>
      <c r="L58">
        <v>0</v>
      </c>
      <c r="U58">
        <f t="shared" si="0"/>
        <v>3</v>
      </c>
      <c r="V58">
        <f t="shared" si="1"/>
        <v>0</v>
      </c>
      <c r="W58" s="4">
        <f t="shared" si="2"/>
        <v>0</v>
      </c>
      <c r="X58" s="4">
        <f t="shared" si="3"/>
        <v>0</v>
      </c>
      <c r="Y58" t="s">
        <v>263</v>
      </c>
      <c r="Z58">
        <f t="shared" si="4"/>
        <v>132</v>
      </c>
      <c r="AA58">
        <f t="shared" si="5"/>
        <v>1</v>
      </c>
    </row>
    <row r="59" spans="1:27" x14ac:dyDescent="0.2">
      <c r="A59">
        <v>3</v>
      </c>
      <c r="B59" t="s">
        <v>117</v>
      </c>
      <c r="C59">
        <v>1</v>
      </c>
      <c r="D59" t="s">
        <v>139</v>
      </c>
      <c r="E59" t="s">
        <v>119</v>
      </c>
      <c r="F59">
        <v>1</v>
      </c>
      <c r="G59" t="s">
        <v>261</v>
      </c>
      <c r="H59" t="s">
        <v>264</v>
      </c>
      <c r="I59" t="s">
        <v>120</v>
      </c>
      <c r="J59">
        <v>2</v>
      </c>
      <c r="K59">
        <v>2</v>
      </c>
      <c r="L59">
        <v>2</v>
      </c>
      <c r="U59">
        <f t="shared" si="0"/>
        <v>3</v>
      </c>
      <c r="V59">
        <f t="shared" si="1"/>
        <v>6</v>
      </c>
      <c r="W59" s="4">
        <f t="shared" si="2"/>
        <v>2</v>
      </c>
      <c r="X59" s="4">
        <f t="shared" si="3"/>
        <v>100</v>
      </c>
      <c r="Z59">
        <f t="shared" si="4"/>
        <v>318</v>
      </c>
      <c r="AA59">
        <f t="shared" si="5"/>
        <v>0</v>
      </c>
    </row>
    <row r="60" spans="1:27" x14ac:dyDescent="0.2">
      <c r="A60">
        <v>1</v>
      </c>
      <c r="B60" t="s">
        <v>117</v>
      </c>
      <c r="C60">
        <v>1</v>
      </c>
      <c r="D60" t="s">
        <v>139</v>
      </c>
      <c r="E60" t="s">
        <v>119</v>
      </c>
      <c r="F60">
        <v>2</v>
      </c>
      <c r="G60" t="s">
        <v>265</v>
      </c>
      <c r="H60" t="s">
        <v>266</v>
      </c>
      <c r="I60" t="s">
        <v>120</v>
      </c>
      <c r="J60">
        <v>2</v>
      </c>
      <c r="K60">
        <v>2</v>
      </c>
      <c r="L60">
        <v>2</v>
      </c>
      <c r="U60">
        <f t="shared" si="0"/>
        <v>3</v>
      </c>
      <c r="V60">
        <f t="shared" si="1"/>
        <v>6</v>
      </c>
      <c r="W60" s="4">
        <f t="shared" si="2"/>
        <v>2</v>
      </c>
      <c r="X60" s="4">
        <f t="shared" si="3"/>
        <v>100</v>
      </c>
      <c r="Y60" t="s">
        <v>267</v>
      </c>
      <c r="Z60">
        <f t="shared" si="4"/>
        <v>284</v>
      </c>
      <c r="AA60">
        <f t="shared" si="5"/>
        <v>0</v>
      </c>
    </row>
    <row r="61" spans="1:27" x14ac:dyDescent="0.2">
      <c r="A61">
        <v>2</v>
      </c>
      <c r="B61" t="s">
        <v>117</v>
      </c>
      <c r="C61">
        <v>1</v>
      </c>
      <c r="D61" t="s">
        <v>139</v>
      </c>
      <c r="E61" t="s">
        <v>119</v>
      </c>
      <c r="F61">
        <v>2</v>
      </c>
      <c r="G61" t="s">
        <v>265</v>
      </c>
      <c r="H61" t="s">
        <v>268</v>
      </c>
      <c r="I61" t="s">
        <v>120</v>
      </c>
      <c r="J61">
        <v>2</v>
      </c>
      <c r="K61">
        <v>2</v>
      </c>
      <c r="L61">
        <v>2</v>
      </c>
      <c r="U61">
        <f t="shared" si="0"/>
        <v>3</v>
      </c>
      <c r="V61">
        <f t="shared" si="1"/>
        <v>6</v>
      </c>
      <c r="W61" s="4">
        <f t="shared" si="2"/>
        <v>2</v>
      </c>
      <c r="X61" s="4">
        <f t="shared" si="3"/>
        <v>100</v>
      </c>
      <c r="Y61" t="s">
        <v>267</v>
      </c>
      <c r="Z61">
        <f t="shared" si="4"/>
        <v>310</v>
      </c>
      <c r="AA61">
        <f t="shared" si="5"/>
        <v>0</v>
      </c>
    </row>
    <row r="62" spans="1:27" x14ac:dyDescent="0.2">
      <c r="A62">
        <v>3</v>
      </c>
      <c r="B62" t="s">
        <v>117</v>
      </c>
      <c r="C62">
        <v>1</v>
      </c>
      <c r="D62" t="s">
        <v>139</v>
      </c>
      <c r="E62" t="s">
        <v>119</v>
      </c>
      <c r="F62">
        <v>2</v>
      </c>
      <c r="G62" t="s">
        <v>269</v>
      </c>
      <c r="H62" t="s">
        <v>270</v>
      </c>
      <c r="I62" t="s">
        <v>120</v>
      </c>
      <c r="J62">
        <v>2</v>
      </c>
      <c r="K62">
        <v>2</v>
      </c>
      <c r="L62">
        <v>2</v>
      </c>
      <c r="U62">
        <f t="shared" si="0"/>
        <v>3</v>
      </c>
      <c r="V62">
        <f t="shared" si="1"/>
        <v>6</v>
      </c>
      <c r="W62" s="4">
        <f t="shared" si="2"/>
        <v>2</v>
      </c>
      <c r="X62" s="4">
        <f t="shared" si="3"/>
        <v>100</v>
      </c>
      <c r="Z62">
        <f t="shared" si="4"/>
        <v>207</v>
      </c>
      <c r="AA62">
        <f t="shared" si="5"/>
        <v>0</v>
      </c>
    </row>
    <row r="63" spans="1:27" x14ac:dyDescent="0.2">
      <c r="A63">
        <v>1</v>
      </c>
      <c r="B63" t="s">
        <v>117</v>
      </c>
      <c r="C63">
        <v>1</v>
      </c>
      <c r="D63" t="s">
        <v>139</v>
      </c>
      <c r="E63" t="s">
        <v>119</v>
      </c>
      <c r="F63">
        <v>1</v>
      </c>
      <c r="G63" t="s">
        <v>271</v>
      </c>
      <c r="H63" t="s">
        <v>272</v>
      </c>
      <c r="I63" t="s">
        <v>120</v>
      </c>
      <c r="J63">
        <v>1</v>
      </c>
      <c r="K63">
        <v>2</v>
      </c>
      <c r="L63">
        <v>1</v>
      </c>
      <c r="U63">
        <f t="shared" si="0"/>
        <v>3</v>
      </c>
      <c r="V63">
        <f t="shared" si="1"/>
        <v>4</v>
      </c>
      <c r="W63" s="4">
        <f>IF(U63=0,"",V63/U63)</f>
        <v>1.3333333333333333</v>
      </c>
      <c r="X63" s="4">
        <f t="shared" si="3"/>
        <v>66.666666666666657</v>
      </c>
      <c r="Y63" t="s">
        <v>273</v>
      </c>
      <c r="Z63">
        <f t="shared" si="4"/>
        <v>2260</v>
      </c>
      <c r="AA63">
        <f t="shared" si="5"/>
        <v>0</v>
      </c>
    </row>
    <row r="64" spans="1:27" x14ac:dyDescent="0.2">
      <c r="A64">
        <v>2</v>
      </c>
      <c r="B64" t="s">
        <v>117</v>
      </c>
      <c r="C64">
        <v>1</v>
      </c>
      <c r="D64" t="s">
        <v>139</v>
      </c>
      <c r="E64" t="s">
        <v>119</v>
      </c>
      <c r="F64">
        <v>1</v>
      </c>
      <c r="G64" t="s">
        <v>271</v>
      </c>
      <c r="H64" t="s">
        <v>274</v>
      </c>
      <c r="I64" t="s">
        <v>120</v>
      </c>
      <c r="J64">
        <v>1</v>
      </c>
      <c r="K64">
        <v>2</v>
      </c>
      <c r="L64">
        <v>1</v>
      </c>
      <c r="U64">
        <f t="shared" si="0"/>
        <v>3</v>
      </c>
      <c r="V64">
        <f t="shared" si="1"/>
        <v>4</v>
      </c>
      <c r="W64" s="4">
        <f>IF(U64=0,"",V64/U64)</f>
        <v>1.3333333333333333</v>
      </c>
      <c r="X64" s="4">
        <f t="shared" si="3"/>
        <v>66.666666666666657</v>
      </c>
      <c r="Y64" t="s">
        <v>273</v>
      </c>
      <c r="Z64">
        <f t="shared" si="4"/>
        <v>2038</v>
      </c>
      <c r="AA64">
        <f t="shared" si="5"/>
        <v>0</v>
      </c>
    </row>
    <row r="65" spans="1:27" x14ac:dyDescent="0.2">
      <c r="A65">
        <v>3</v>
      </c>
      <c r="B65" t="s">
        <v>117</v>
      </c>
      <c r="C65">
        <v>1</v>
      </c>
      <c r="D65" t="s">
        <v>139</v>
      </c>
      <c r="E65" t="s">
        <v>119</v>
      </c>
      <c r="F65">
        <v>1</v>
      </c>
      <c r="G65" t="s">
        <v>271</v>
      </c>
      <c r="H65" t="s">
        <v>275</v>
      </c>
      <c r="I65" t="s">
        <v>120</v>
      </c>
      <c r="J65">
        <v>2</v>
      </c>
      <c r="K65">
        <v>2</v>
      </c>
      <c r="L65">
        <v>2</v>
      </c>
      <c r="U65">
        <f t="shared" si="0"/>
        <v>3</v>
      </c>
      <c r="V65">
        <f t="shared" si="1"/>
        <v>6</v>
      </c>
      <c r="W65" s="4">
        <f>IF(U65=0,"",V65/U65)</f>
        <v>2</v>
      </c>
      <c r="X65" s="4">
        <f t="shared" si="3"/>
        <v>100</v>
      </c>
      <c r="Y65" t="s">
        <v>276</v>
      </c>
      <c r="Z65">
        <f t="shared" si="4"/>
        <v>2337</v>
      </c>
      <c r="AA65">
        <f t="shared" si="5"/>
        <v>0</v>
      </c>
    </row>
    <row r="66" spans="1:27" x14ac:dyDescent="0.2">
      <c r="A66">
        <v>1</v>
      </c>
      <c r="B66" t="s">
        <v>121</v>
      </c>
      <c r="C66">
        <v>2</v>
      </c>
      <c r="D66" t="s">
        <v>140</v>
      </c>
      <c r="E66" t="s">
        <v>277</v>
      </c>
      <c r="F66">
        <v>1</v>
      </c>
      <c r="G66" t="s">
        <v>278</v>
      </c>
      <c r="H66" t="s">
        <v>279</v>
      </c>
      <c r="I66" t="s">
        <v>280</v>
      </c>
      <c r="M66">
        <v>0</v>
      </c>
      <c r="O66">
        <v>1</v>
      </c>
      <c r="Q66">
        <v>1</v>
      </c>
      <c r="R66">
        <v>1</v>
      </c>
      <c r="T66">
        <v>1</v>
      </c>
      <c r="U66">
        <f>COUNT(J66:T66)</f>
        <v>5</v>
      </c>
      <c r="V66">
        <f>SUM(J66:T66)</f>
        <v>4</v>
      </c>
      <c r="W66" s="4">
        <f t="shared" ref="W66:W129" si="6">IF(U66=0,"",V66/U66)</f>
        <v>0.8</v>
      </c>
      <c r="X66" s="4">
        <f t="shared" ref="X66:X129" si="7">IF(W66="","",W66/2*100)</f>
        <v>40</v>
      </c>
      <c r="Y66" t="s">
        <v>281</v>
      </c>
      <c r="Z66">
        <f t="shared" si="4"/>
        <v>219</v>
      </c>
      <c r="AA66">
        <f t="shared" si="5"/>
        <v>1</v>
      </c>
    </row>
    <row r="67" spans="1:27" x14ac:dyDescent="0.2">
      <c r="A67">
        <v>2</v>
      </c>
      <c r="B67" t="s">
        <v>121</v>
      </c>
      <c r="C67">
        <v>2</v>
      </c>
      <c r="D67" t="s">
        <v>140</v>
      </c>
      <c r="E67" t="s">
        <v>277</v>
      </c>
      <c r="F67">
        <v>1</v>
      </c>
      <c r="G67" t="s">
        <v>278</v>
      </c>
      <c r="H67" t="s">
        <v>282</v>
      </c>
      <c r="I67" t="s">
        <v>280</v>
      </c>
      <c r="M67">
        <v>2</v>
      </c>
      <c r="O67">
        <v>2</v>
      </c>
      <c r="Q67">
        <v>2</v>
      </c>
      <c r="R67">
        <v>2</v>
      </c>
      <c r="T67">
        <v>2</v>
      </c>
      <c r="U67">
        <f t="shared" ref="U67:U130" si="8">COUNT(J67:T67)</f>
        <v>5</v>
      </c>
      <c r="V67">
        <f t="shared" ref="V67:V130" si="9">SUM(J67:T67)</f>
        <v>10</v>
      </c>
      <c r="W67" s="4">
        <f t="shared" si="6"/>
        <v>2</v>
      </c>
      <c r="X67" s="4">
        <f t="shared" si="7"/>
        <v>100</v>
      </c>
      <c r="Z67">
        <f t="shared" ref="Z67:Z130" si="10">LEN(H67)</f>
        <v>247</v>
      </c>
      <c r="AA67">
        <f t="shared" ref="AA67:AA70" si="11">IF(X67&lt;50,1,0)</f>
        <v>0</v>
      </c>
    </row>
    <row r="68" spans="1:27" x14ac:dyDescent="0.2">
      <c r="A68">
        <v>3</v>
      </c>
      <c r="B68" t="s">
        <v>121</v>
      </c>
      <c r="C68">
        <v>2</v>
      </c>
      <c r="D68" t="s">
        <v>140</v>
      </c>
      <c r="E68" t="s">
        <v>277</v>
      </c>
      <c r="F68">
        <v>1</v>
      </c>
      <c r="G68" t="s">
        <v>278</v>
      </c>
      <c r="H68" t="s">
        <v>283</v>
      </c>
      <c r="I68" t="s">
        <v>280</v>
      </c>
      <c r="M68">
        <v>0</v>
      </c>
      <c r="O68">
        <v>1</v>
      </c>
      <c r="Q68">
        <v>1</v>
      </c>
      <c r="R68">
        <v>1</v>
      </c>
      <c r="T68">
        <v>1</v>
      </c>
      <c r="U68">
        <f t="shared" si="8"/>
        <v>5</v>
      </c>
      <c r="V68">
        <f t="shared" si="9"/>
        <v>4</v>
      </c>
      <c r="W68" s="4">
        <f t="shared" si="6"/>
        <v>0.8</v>
      </c>
      <c r="X68" s="4">
        <f t="shared" si="7"/>
        <v>40</v>
      </c>
      <c r="Y68" t="s">
        <v>281</v>
      </c>
      <c r="Z68">
        <f t="shared" si="10"/>
        <v>364</v>
      </c>
      <c r="AA68">
        <f t="shared" si="11"/>
        <v>1</v>
      </c>
    </row>
    <row r="69" spans="1:27" x14ac:dyDescent="0.2">
      <c r="A69">
        <v>3</v>
      </c>
      <c r="B69" t="s">
        <v>121</v>
      </c>
      <c r="C69">
        <v>2</v>
      </c>
      <c r="D69" t="s">
        <v>140</v>
      </c>
      <c r="E69" t="s">
        <v>277</v>
      </c>
      <c r="F69">
        <v>2</v>
      </c>
      <c r="G69" t="s">
        <v>278</v>
      </c>
      <c r="H69" t="s">
        <v>284</v>
      </c>
      <c r="I69" t="s">
        <v>280</v>
      </c>
      <c r="M69">
        <v>0</v>
      </c>
      <c r="O69">
        <v>1</v>
      </c>
      <c r="Q69">
        <v>1</v>
      </c>
      <c r="R69">
        <v>1</v>
      </c>
      <c r="T69">
        <v>1</v>
      </c>
      <c r="U69">
        <f t="shared" si="8"/>
        <v>5</v>
      </c>
      <c r="V69">
        <f t="shared" si="9"/>
        <v>4</v>
      </c>
      <c r="W69" s="4">
        <f t="shared" si="6"/>
        <v>0.8</v>
      </c>
      <c r="X69" s="4">
        <f t="shared" si="7"/>
        <v>40</v>
      </c>
      <c r="Y69" t="s">
        <v>281</v>
      </c>
      <c r="Z69">
        <f t="shared" si="10"/>
        <v>407</v>
      </c>
      <c r="AA69">
        <f t="shared" si="11"/>
        <v>1</v>
      </c>
    </row>
    <row r="70" spans="1:27" x14ac:dyDescent="0.2">
      <c r="A70">
        <v>1</v>
      </c>
      <c r="B70" t="s">
        <v>121</v>
      </c>
      <c r="C70">
        <v>2</v>
      </c>
      <c r="D70" t="s">
        <v>140</v>
      </c>
      <c r="E70" t="s">
        <v>277</v>
      </c>
      <c r="F70">
        <v>1</v>
      </c>
      <c r="G70" t="s">
        <v>285</v>
      </c>
      <c r="H70" t="s">
        <v>286</v>
      </c>
      <c r="I70" t="s">
        <v>280</v>
      </c>
      <c r="M70">
        <v>2</v>
      </c>
      <c r="O70">
        <v>2</v>
      </c>
      <c r="Q70">
        <v>2</v>
      </c>
      <c r="R70">
        <v>2</v>
      </c>
      <c r="T70">
        <v>2</v>
      </c>
      <c r="U70">
        <f t="shared" si="8"/>
        <v>5</v>
      </c>
      <c r="V70">
        <f t="shared" si="9"/>
        <v>10</v>
      </c>
      <c r="W70" s="4">
        <f t="shared" si="6"/>
        <v>2</v>
      </c>
      <c r="X70" s="4">
        <f t="shared" si="7"/>
        <v>100</v>
      </c>
      <c r="Z70">
        <f t="shared" si="10"/>
        <v>444</v>
      </c>
      <c r="AA70">
        <f t="shared" si="11"/>
        <v>0</v>
      </c>
    </row>
    <row r="71" spans="1:27" x14ac:dyDescent="0.2">
      <c r="A71">
        <v>2</v>
      </c>
      <c r="B71" t="s">
        <v>121</v>
      </c>
      <c r="C71">
        <v>2</v>
      </c>
      <c r="D71" t="s">
        <v>140</v>
      </c>
      <c r="E71" t="s">
        <v>277</v>
      </c>
      <c r="F71">
        <v>1</v>
      </c>
      <c r="G71" t="s">
        <v>285</v>
      </c>
      <c r="H71" t="s">
        <v>287</v>
      </c>
      <c r="I71" t="s">
        <v>280</v>
      </c>
      <c r="M71">
        <v>2</v>
      </c>
      <c r="O71">
        <v>2</v>
      </c>
      <c r="Q71">
        <v>2</v>
      </c>
      <c r="R71">
        <v>2</v>
      </c>
      <c r="T71">
        <v>2</v>
      </c>
      <c r="U71">
        <f t="shared" si="8"/>
        <v>5</v>
      </c>
      <c r="V71">
        <f t="shared" si="9"/>
        <v>10</v>
      </c>
      <c r="W71" s="4">
        <f t="shared" si="6"/>
        <v>2</v>
      </c>
      <c r="X71" s="4">
        <f t="shared" si="7"/>
        <v>100</v>
      </c>
      <c r="Z71">
        <f t="shared" si="10"/>
        <v>431</v>
      </c>
      <c r="AA71">
        <f>IF(X71&lt;50,1,0)</f>
        <v>0</v>
      </c>
    </row>
    <row r="72" spans="1:27" x14ac:dyDescent="0.2">
      <c r="A72">
        <v>3</v>
      </c>
      <c r="B72" t="s">
        <v>121</v>
      </c>
      <c r="C72">
        <v>2</v>
      </c>
      <c r="D72" t="s">
        <v>140</v>
      </c>
      <c r="E72" t="s">
        <v>277</v>
      </c>
      <c r="F72">
        <v>1</v>
      </c>
      <c r="G72" t="s">
        <v>285</v>
      </c>
      <c r="H72" t="s">
        <v>288</v>
      </c>
      <c r="I72" t="s">
        <v>280</v>
      </c>
      <c r="M72">
        <v>2</v>
      </c>
      <c r="O72">
        <v>2</v>
      </c>
      <c r="Q72">
        <v>2</v>
      </c>
      <c r="R72">
        <v>2</v>
      </c>
      <c r="T72">
        <v>2</v>
      </c>
      <c r="U72">
        <f t="shared" si="8"/>
        <v>5</v>
      </c>
      <c r="V72">
        <f t="shared" si="9"/>
        <v>10</v>
      </c>
      <c r="W72" s="4">
        <f t="shared" si="6"/>
        <v>2</v>
      </c>
      <c r="X72" s="4">
        <f t="shared" si="7"/>
        <v>100</v>
      </c>
      <c r="Z72">
        <f t="shared" si="10"/>
        <v>459</v>
      </c>
      <c r="AA72">
        <f t="shared" ref="AA72:AA92" si="12">IF(X72&lt;50,1,0)</f>
        <v>0</v>
      </c>
    </row>
    <row r="73" spans="1:27" x14ac:dyDescent="0.2">
      <c r="A73">
        <v>1</v>
      </c>
      <c r="B73" t="s">
        <v>121</v>
      </c>
      <c r="C73">
        <v>2</v>
      </c>
      <c r="D73" t="s">
        <v>140</v>
      </c>
      <c r="E73" t="s">
        <v>277</v>
      </c>
      <c r="F73">
        <v>1</v>
      </c>
      <c r="G73" t="s">
        <v>289</v>
      </c>
      <c r="H73" t="s">
        <v>290</v>
      </c>
      <c r="I73" t="s">
        <v>280</v>
      </c>
      <c r="M73">
        <v>2</v>
      </c>
      <c r="O73">
        <v>2</v>
      </c>
      <c r="Q73">
        <v>2</v>
      </c>
      <c r="R73">
        <v>2</v>
      </c>
      <c r="T73">
        <v>2</v>
      </c>
      <c r="U73">
        <f t="shared" si="8"/>
        <v>5</v>
      </c>
      <c r="V73">
        <f t="shared" si="9"/>
        <v>10</v>
      </c>
      <c r="W73" s="4">
        <f t="shared" si="6"/>
        <v>2</v>
      </c>
      <c r="X73" s="4">
        <f t="shared" si="7"/>
        <v>100</v>
      </c>
      <c r="Z73">
        <f t="shared" si="10"/>
        <v>387</v>
      </c>
      <c r="AA73">
        <f t="shared" si="12"/>
        <v>0</v>
      </c>
    </row>
    <row r="74" spans="1:27" x14ac:dyDescent="0.2">
      <c r="A74">
        <v>2</v>
      </c>
      <c r="B74" t="s">
        <v>121</v>
      </c>
      <c r="C74">
        <v>2</v>
      </c>
      <c r="D74" t="s">
        <v>140</v>
      </c>
      <c r="E74" t="s">
        <v>277</v>
      </c>
      <c r="F74">
        <v>1</v>
      </c>
      <c r="G74" t="s">
        <v>289</v>
      </c>
      <c r="H74" t="s">
        <v>291</v>
      </c>
      <c r="I74" t="s">
        <v>280</v>
      </c>
      <c r="M74">
        <v>2</v>
      </c>
      <c r="O74">
        <v>2</v>
      </c>
      <c r="Q74">
        <v>2</v>
      </c>
      <c r="R74">
        <v>2</v>
      </c>
      <c r="T74">
        <v>2</v>
      </c>
      <c r="U74">
        <f t="shared" si="8"/>
        <v>5</v>
      </c>
      <c r="V74">
        <f t="shared" si="9"/>
        <v>10</v>
      </c>
      <c r="W74" s="4">
        <f t="shared" si="6"/>
        <v>2</v>
      </c>
      <c r="X74" s="4">
        <f t="shared" si="7"/>
        <v>100</v>
      </c>
      <c r="Z74">
        <f t="shared" si="10"/>
        <v>371</v>
      </c>
      <c r="AA74">
        <f t="shared" si="12"/>
        <v>0</v>
      </c>
    </row>
    <row r="75" spans="1:27" x14ac:dyDescent="0.2">
      <c r="A75">
        <v>3</v>
      </c>
      <c r="B75" t="s">
        <v>121</v>
      </c>
      <c r="C75">
        <v>2</v>
      </c>
      <c r="D75" t="s">
        <v>140</v>
      </c>
      <c r="E75" t="s">
        <v>277</v>
      </c>
      <c r="F75">
        <v>1</v>
      </c>
      <c r="G75" t="s">
        <v>289</v>
      </c>
      <c r="H75" t="s">
        <v>292</v>
      </c>
      <c r="I75" t="s">
        <v>280</v>
      </c>
      <c r="M75">
        <v>2</v>
      </c>
      <c r="O75">
        <v>2</v>
      </c>
      <c r="Q75">
        <v>2</v>
      </c>
      <c r="R75">
        <v>2</v>
      </c>
      <c r="T75">
        <v>2</v>
      </c>
      <c r="U75">
        <f t="shared" si="8"/>
        <v>5</v>
      </c>
      <c r="V75">
        <f t="shared" si="9"/>
        <v>10</v>
      </c>
      <c r="W75" s="4">
        <f t="shared" si="6"/>
        <v>2</v>
      </c>
      <c r="X75" s="4">
        <f t="shared" si="7"/>
        <v>100</v>
      </c>
      <c r="Z75">
        <f t="shared" si="10"/>
        <v>367</v>
      </c>
      <c r="AA75">
        <f t="shared" si="12"/>
        <v>0</v>
      </c>
    </row>
    <row r="76" spans="1:27" x14ac:dyDescent="0.2">
      <c r="A76">
        <v>1</v>
      </c>
      <c r="B76" t="s">
        <v>121</v>
      </c>
      <c r="C76">
        <v>2</v>
      </c>
      <c r="D76" t="s">
        <v>140</v>
      </c>
      <c r="E76" t="s">
        <v>277</v>
      </c>
      <c r="F76">
        <v>1</v>
      </c>
      <c r="G76" t="s">
        <v>293</v>
      </c>
      <c r="H76" t="s">
        <v>294</v>
      </c>
      <c r="I76" t="s">
        <v>280</v>
      </c>
      <c r="M76">
        <v>1</v>
      </c>
      <c r="O76">
        <v>2</v>
      </c>
      <c r="Q76">
        <v>2</v>
      </c>
      <c r="R76">
        <v>2</v>
      </c>
      <c r="T76">
        <v>2</v>
      </c>
      <c r="U76">
        <f t="shared" si="8"/>
        <v>5</v>
      </c>
      <c r="V76">
        <f t="shared" si="9"/>
        <v>9</v>
      </c>
      <c r="W76" s="4">
        <f t="shared" si="6"/>
        <v>1.8</v>
      </c>
      <c r="X76" s="4">
        <f t="shared" si="7"/>
        <v>90</v>
      </c>
      <c r="Z76">
        <f t="shared" si="10"/>
        <v>226</v>
      </c>
      <c r="AA76">
        <f t="shared" si="12"/>
        <v>0</v>
      </c>
    </row>
    <row r="77" spans="1:27" x14ac:dyDescent="0.2">
      <c r="A77">
        <v>2</v>
      </c>
      <c r="B77" t="s">
        <v>121</v>
      </c>
      <c r="C77">
        <v>2</v>
      </c>
      <c r="D77" t="s">
        <v>140</v>
      </c>
      <c r="E77" t="s">
        <v>277</v>
      </c>
      <c r="F77">
        <v>1</v>
      </c>
      <c r="G77" t="s">
        <v>293</v>
      </c>
      <c r="H77" t="s">
        <v>295</v>
      </c>
      <c r="I77" t="s">
        <v>280</v>
      </c>
      <c r="M77">
        <v>2</v>
      </c>
      <c r="O77">
        <v>2</v>
      </c>
      <c r="Q77">
        <v>2</v>
      </c>
      <c r="R77">
        <v>2</v>
      </c>
      <c r="T77">
        <v>2</v>
      </c>
      <c r="U77">
        <f t="shared" si="8"/>
        <v>5</v>
      </c>
      <c r="V77">
        <f t="shared" si="9"/>
        <v>10</v>
      </c>
      <c r="W77" s="4">
        <f t="shared" si="6"/>
        <v>2</v>
      </c>
      <c r="X77" s="4">
        <f t="shared" si="7"/>
        <v>100</v>
      </c>
      <c r="Z77">
        <f t="shared" si="10"/>
        <v>246</v>
      </c>
      <c r="AA77">
        <f t="shared" si="12"/>
        <v>0</v>
      </c>
    </row>
    <row r="78" spans="1:27" x14ac:dyDescent="0.2">
      <c r="A78">
        <v>3</v>
      </c>
      <c r="B78" t="s">
        <v>121</v>
      </c>
      <c r="C78">
        <v>2</v>
      </c>
      <c r="D78" t="s">
        <v>140</v>
      </c>
      <c r="E78" t="s">
        <v>277</v>
      </c>
      <c r="F78">
        <v>1</v>
      </c>
      <c r="G78" t="s">
        <v>293</v>
      </c>
      <c r="H78" t="s">
        <v>296</v>
      </c>
      <c r="I78" t="s">
        <v>280</v>
      </c>
      <c r="M78">
        <v>1</v>
      </c>
      <c r="O78">
        <v>2</v>
      </c>
      <c r="Q78">
        <v>2</v>
      </c>
      <c r="R78">
        <v>2</v>
      </c>
      <c r="T78">
        <v>2</v>
      </c>
      <c r="U78">
        <f t="shared" si="8"/>
        <v>5</v>
      </c>
      <c r="V78">
        <f t="shared" si="9"/>
        <v>9</v>
      </c>
      <c r="W78" s="4">
        <f t="shared" si="6"/>
        <v>1.8</v>
      </c>
      <c r="X78" s="4">
        <f t="shared" si="7"/>
        <v>90</v>
      </c>
      <c r="Z78">
        <f t="shared" si="10"/>
        <v>405</v>
      </c>
      <c r="AA78">
        <f t="shared" si="12"/>
        <v>0</v>
      </c>
    </row>
    <row r="79" spans="1:27" x14ac:dyDescent="0.2">
      <c r="A79">
        <v>1</v>
      </c>
      <c r="B79" t="s">
        <v>121</v>
      </c>
      <c r="C79">
        <v>2</v>
      </c>
      <c r="D79" t="s">
        <v>140</v>
      </c>
      <c r="E79" t="s">
        <v>277</v>
      </c>
      <c r="F79">
        <v>1</v>
      </c>
      <c r="G79" t="s">
        <v>297</v>
      </c>
      <c r="H79" t="s">
        <v>298</v>
      </c>
      <c r="I79" t="s">
        <v>280</v>
      </c>
      <c r="M79">
        <v>2</v>
      </c>
      <c r="O79">
        <v>2</v>
      </c>
      <c r="Q79">
        <v>2</v>
      </c>
      <c r="R79">
        <v>2</v>
      </c>
      <c r="T79">
        <v>2</v>
      </c>
      <c r="U79">
        <f t="shared" si="8"/>
        <v>5</v>
      </c>
      <c r="V79">
        <f t="shared" si="9"/>
        <v>10</v>
      </c>
      <c r="W79" s="4">
        <f t="shared" si="6"/>
        <v>2</v>
      </c>
      <c r="X79" s="4">
        <f t="shared" si="7"/>
        <v>100</v>
      </c>
      <c r="Z79">
        <f t="shared" si="10"/>
        <v>469</v>
      </c>
      <c r="AA79">
        <f t="shared" si="12"/>
        <v>0</v>
      </c>
    </row>
    <row r="80" spans="1:27" x14ac:dyDescent="0.2">
      <c r="A80">
        <v>2</v>
      </c>
      <c r="B80" t="s">
        <v>121</v>
      </c>
      <c r="C80">
        <v>2</v>
      </c>
      <c r="D80" t="s">
        <v>140</v>
      </c>
      <c r="E80" t="s">
        <v>277</v>
      </c>
      <c r="F80">
        <v>1</v>
      </c>
      <c r="G80" t="s">
        <v>297</v>
      </c>
      <c r="H80" t="s">
        <v>299</v>
      </c>
      <c r="I80" t="s">
        <v>280</v>
      </c>
      <c r="M80">
        <v>2</v>
      </c>
      <c r="O80">
        <v>2</v>
      </c>
      <c r="Q80">
        <v>2</v>
      </c>
      <c r="R80">
        <v>2</v>
      </c>
      <c r="T80">
        <v>2</v>
      </c>
      <c r="U80">
        <f t="shared" si="8"/>
        <v>5</v>
      </c>
      <c r="V80">
        <f t="shared" si="9"/>
        <v>10</v>
      </c>
      <c r="W80" s="4">
        <f t="shared" si="6"/>
        <v>2</v>
      </c>
      <c r="X80" s="4">
        <f t="shared" si="7"/>
        <v>100</v>
      </c>
      <c r="Z80">
        <f t="shared" si="10"/>
        <v>442</v>
      </c>
      <c r="AA80">
        <f t="shared" si="12"/>
        <v>0</v>
      </c>
    </row>
    <row r="81" spans="1:27" x14ac:dyDescent="0.2">
      <c r="A81">
        <v>3</v>
      </c>
      <c r="B81" t="s">
        <v>121</v>
      </c>
      <c r="C81">
        <v>2</v>
      </c>
      <c r="D81" t="s">
        <v>140</v>
      </c>
      <c r="E81" t="s">
        <v>277</v>
      </c>
      <c r="F81">
        <v>1</v>
      </c>
      <c r="G81" t="s">
        <v>297</v>
      </c>
      <c r="H81" t="s">
        <v>300</v>
      </c>
      <c r="I81" t="s">
        <v>280</v>
      </c>
      <c r="M81">
        <v>2</v>
      </c>
      <c r="O81">
        <v>2</v>
      </c>
      <c r="Q81">
        <v>2</v>
      </c>
      <c r="R81">
        <v>2</v>
      </c>
      <c r="T81">
        <v>2</v>
      </c>
      <c r="U81">
        <f t="shared" si="8"/>
        <v>5</v>
      </c>
      <c r="V81">
        <f t="shared" si="9"/>
        <v>10</v>
      </c>
      <c r="W81" s="4">
        <f t="shared" si="6"/>
        <v>2</v>
      </c>
      <c r="X81" s="4">
        <f t="shared" si="7"/>
        <v>100</v>
      </c>
      <c r="Z81">
        <f t="shared" si="10"/>
        <v>432</v>
      </c>
      <c r="AA81">
        <f t="shared" si="12"/>
        <v>0</v>
      </c>
    </row>
    <row r="82" spans="1:27" x14ac:dyDescent="0.2">
      <c r="A82">
        <v>1</v>
      </c>
      <c r="B82" t="s">
        <v>121</v>
      </c>
      <c r="C82">
        <v>2</v>
      </c>
      <c r="D82" t="s">
        <v>140</v>
      </c>
      <c r="E82" t="s">
        <v>277</v>
      </c>
      <c r="F82">
        <v>1</v>
      </c>
      <c r="G82" t="s">
        <v>301</v>
      </c>
      <c r="H82" t="s">
        <v>302</v>
      </c>
      <c r="I82" t="s">
        <v>280</v>
      </c>
      <c r="M82">
        <v>2</v>
      </c>
      <c r="O82">
        <v>2</v>
      </c>
      <c r="Q82">
        <v>1</v>
      </c>
      <c r="R82">
        <v>2</v>
      </c>
      <c r="T82">
        <v>1</v>
      </c>
      <c r="U82">
        <f t="shared" si="8"/>
        <v>5</v>
      </c>
      <c r="V82">
        <f t="shared" si="9"/>
        <v>8</v>
      </c>
      <c r="W82" s="4">
        <f t="shared" si="6"/>
        <v>1.6</v>
      </c>
      <c r="X82" s="4">
        <f t="shared" si="7"/>
        <v>80</v>
      </c>
      <c r="Y82" t="s">
        <v>303</v>
      </c>
      <c r="Z82">
        <f t="shared" si="10"/>
        <v>206</v>
      </c>
      <c r="AA82">
        <f t="shared" si="12"/>
        <v>0</v>
      </c>
    </row>
    <row r="83" spans="1:27" x14ac:dyDescent="0.2">
      <c r="A83">
        <v>2</v>
      </c>
      <c r="B83" t="s">
        <v>121</v>
      </c>
      <c r="C83">
        <v>2</v>
      </c>
      <c r="D83" t="s">
        <v>140</v>
      </c>
      <c r="E83" t="s">
        <v>277</v>
      </c>
      <c r="F83">
        <v>1</v>
      </c>
      <c r="G83" t="s">
        <v>301</v>
      </c>
      <c r="H83" t="s">
        <v>304</v>
      </c>
      <c r="I83" t="s">
        <v>280</v>
      </c>
      <c r="M83">
        <v>2</v>
      </c>
      <c r="O83">
        <v>2</v>
      </c>
      <c r="Q83">
        <v>1</v>
      </c>
      <c r="R83">
        <v>2</v>
      </c>
      <c r="T83">
        <v>1</v>
      </c>
      <c r="U83">
        <f t="shared" si="8"/>
        <v>5</v>
      </c>
      <c r="V83">
        <f t="shared" si="9"/>
        <v>8</v>
      </c>
      <c r="W83" s="4">
        <f t="shared" si="6"/>
        <v>1.6</v>
      </c>
      <c r="X83" s="4">
        <f t="shared" si="7"/>
        <v>80</v>
      </c>
      <c r="Y83" t="s">
        <v>305</v>
      </c>
      <c r="Z83">
        <f t="shared" si="10"/>
        <v>282</v>
      </c>
      <c r="AA83">
        <f t="shared" si="12"/>
        <v>0</v>
      </c>
    </row>
    <row r="84" spans="1:27" x14ac:dyDescent="0.2">
      <c r="A84">
        <v>3</v>
      </c>
      <c r="B84" t="s">
        <v>121</v>
      </c>
      <c r="C84">
        <v>2</v>
      </c>
      <c r="D84" t="s">
        <v>140</v>
      </c>
      <c r="E84" t="s">
        <v>277</v>
      </c>
      <c r="F84">
        <v>1</v>
      </c>
      <c r="G84" t="s">
        <v>301</v>
      </c>
      <c r="H84" t="s">
        <v>306</v>
      </c>
      <c r="I84" t="s">
        <v>280</v>
      </c>
      <c r="M84">
        <v>2</v>
      </c>
      <c r="O84">
        <v>2</v>
      </c>
      <c r="Q84">
        <v>1</v>
      </c>
      <c r="R84">
        <v>2</v>
      </c>
      <c r="T84">
        <v>1</v>
      </c>
      <c r="U84">
        <f t="shared" si="8"/>
        <v>5</v>
      </c>
      <c r="V84">
        <f t="shared" si="9"/>
        <v>8</v>
      </c>
      <c r="W84" s="4">
        <f t="shared" si="6"/>
        <v>1.6</v>
      </c>
      <c r="X84" s="4">
        <f t="shared" si="7"/>
        <v>80</v>
      </c>
      <c r="Y84" t="s">
        <v>307</v>
      </c>
      <c r="Z84">
        <f t="shared" si="10"/>
        <v>347</v>
      </c>
      <c r="AA84">
        <f t="shared" si="12"/>
        <v>0</v>
      </c>
    </row>
    <row r="85" spans="1:27" x14ac:dyDescent="0.2">
      <c r="A85">
        <v>1</v>
      </c>
      <c r="B85" t="s">
        <v>121</v>
      </c>
      <c r="C85">
        <v>2</v>
      </c>
      <c r="D85" t="s">
        <v>140</v>
      </c>
      <c r="E85" t="s">
        <v>277</v>
      </c>
      <c r="F85">
        <v>1</v>
      </c>
      <c r="G85" t="s">
        <v>308</v>
      </c>
      <c r="H85" t="s">
        <v>309</v>
      </c>
      <c r="I85" t="s">
        <v>280</v>
      </c>
      <c r="M85">
        <v>2</v>
      </c>
      <c r="O85">
        <v>2</v>
      </c>
      <c r="Q85">
        <v>2</v>
      </c>
      <c r="R85">
        <v>2</v>
      </c>
      <c r="T85">
        <v>1</v>
      </c>
      <c r="U85">
        <f t="shared" si="8"/>
        <v>5</v>
      </c>
      <c r="V85">
        <f t="shared" si="9"/>
        <v>9</v>
      </c>
      <c r="W85" s="4">
        <f t="shared" si="6"/>
        <v>1.8</v>
      </c>
      <c r="X85" s="4">
        <f t="shared" si="7"/>
        <v>90</v>
      </c>
      <c r="Z85">
        <f t="shared" si="10"/>
        <v>291</v>
      </c>
      <c r="AA85">
        <f t="shared" si="12"/>
        <v>0</v>
      </c>
    </row>
    <row r="86" spans="1:27" x14ac:dyDescent="0.2">
      <c r="A86">
        <v>2</v>
      </c>
      <c r="B86" t="s">
        <v>121</v>
      </c>
      <c r="C86">
        <v>2</v>
      </c>
      <c r="D86" t="s">
        <v>140</v>
      </c>
      <c r="E86" t="s">
        <v>277</v>
      </c>
      <c r="F86">
        <v>1</v>
      </c>
      <c r="G86" t="s">
        <v>308</v>
      </c>
      <c r="H86" t="s">
        <v>310</v>
      </c>
      <c r="I86" t="s">
        <v>280</v>
      </c>
      <c r="M86">
        <v>2</v>
      </c>
      <c r="O86">
        <v>2</v>
      </c>
      <c r="Q86">
        <v>2</v>
      </c>
      <c r="R86">
        <v>2</v>
      </c>
      <c r="T86">
        <v>1</v>
      </c>
      <c r="U86">
        <f t="shared" si="8"/>
        <v>5</v>
      </c>
      <c r="V86">
        <f t="shared" si="9"/>
        <v>9</v>
      </c>
      <c r="W86" s="4">
        <f t="shared" si="6"/>
        <v>1.8</v>
      </c>
      <c r="X86" s="4">
        <f t="shared" si="7"/>
        <v>90</v>
      </c>
      <c r="Z86">
        <f t="shared" si="10"/>
        <v>447</v>
      </c>
      <c r="AA86">
        <f t="shared" si="12"/>
        <v>0</v>
      </c>
    </row>
    <row r="87" spans="1:27" x14ac:dyDescent="0.2">
      <c r="A87">
        <v>3</v>
      </c>
      <c r="B87" t="s">
        <v>121</v>
      </c>
      <c r="C87">
        <v>2</v>
      </c>
      <c r="D87" t="s">
        <v>140</v>
      </c>
      <c r="E87" t="s">
        <v>277</v>
      </c>
      <c r="F87">
        <v>1</v>
      </c>
      <c r="G87" t="s">
        <v>308</v>
      </c>
      <c r="H87" t="s">
        <v>311</v>
      </c>
      <c r="I87" t="s">
        <v>124</v>
      </c>
      <c r="M87">
        <v>2</v>
      </c>
      <c r="O87">
        <v>1</v>
      </c>
      <c r="Q87">
        <v>2</v>
      </c>
      <c r="R87">
        <v>2</v>
      </c>
      <c r="T87">
        <v>2</v>
      </c>
      <c r="U87">
        <f t="shared" si="8"/>
        <v>5</v>
      </c>
      <c r="V87">
        <f t="shared" si="9"/>
        <v>9</v>
      </c>
      <c r="W87" s="4">
        <f t="shared" si="6"/>
        <v>1.8</v>
      </c>
      <c r="X87" s="4">
        <f t="shared" si="7"/>
        <v>90</v>
      </c>
      <c r="Y87" t="s">
        <v>312</v>
      </c>
      <c r="Z87">
        <f t="shared" si="10"/>
        <v>402</v>
      </c>
      <c r="AA87">
        <f t="shared" si="12"/>
        <v>0</v>
      </c>
    </row>
    <row r="88" spans="1:27" x14ac:dyDescent="0.2">
      <c r="A88">
        <v>1</v>
      </c>
      <c r="B88" t="s">
        <v>121</v>
      </c>
      <c r="C88">
        <v>3</v>
      </c>
      <c r="D88" t="s">
        <v>141</v>
      </c>
      <c r="E88" t="s">
        <v>313</v>
      </c>
      <c r="F88">
        <v>1</v>
      </c>
      <c r="G88" t="s">
        <v>314</v>
      </c>
      <c r="H88" t="s">
        <v>315</v>
      </c>
      <c r="I88" t="s">
        <v>124</v>
      </c>
      <c r="M88">
        <v>2</v>
      </c>
      <c r="O88">
        <v>2</v>
      </c>
      <c r="Q88">
        <v>2</v>
      </c>
      <c r="R88">
        <v>2</v>
      </c>
      <c r="U88">
        <f t="shared" si="8"/>
        <v>4</v>
      </c>
      <c r="V88">
        <f t="shared" si="9"/>
        <v>8</v>
      </c>
      <c r="W88" s="4">
        <f t="shared" si="6"/>
        <v>2</v>
      </c>
      <c r="X88" s="4">
        <f t="shared" si="7"/>
        <v>100</v>
      </c>
      <c r="Z88">
        <f t="shared" si="10"/>
        <v>214</v>
      </c>
      <c r="AA88">
        <f t="shared" si="12"/>
        <v>0</v>
      </c>
    </row>
    <row r="89" spans="1:27" x14ac:dyDescent="0.2">
      <c r="A89">
        <v>2</v>
      </c>
      <c r="B89" t="s">
        <v>121</v>
      </c>
      <c r="C89">
        <v>3</v>
      </c>
      <c r="D89" t="s">
        <v>141</v>
      </c>
      <c r="E89" t="s">
        <v>313</v>
      </c>
      <c r="F89">
        <v>1</v>
      </c>
      <c r="G89" t="s">
        <v>314</v>
      </c>
      <c r="H89" t="s">
        <v>316</v>
      </c>
      <c r="I89" t="s">
        <v>124</v>
      </c>
      <c r="M89">
        <v>2</v>
      </c>
      <c r="O89">
        <v>2</v>
      </c>
      <c r="Q89">
        <v>2</v>
      </c>
      <c r="R89">
        <v>2</v>
      </c>
      <c r="U89">
        <f t="shared" si="8"/>
        <v>4</v>
      </c>
      <c r="V89">
        <f t="shared" si="9"/>
        <v>8</v>
      </c>
      <c r="W89" s="4">
        <f t="shared" si="6"/>
        <v>2</v>
      </c>
      <c r="X89" s="4">
        <f t="shared" si="7"/>
        <v>100</v>
      </c>
      <c r="Z89">
        <f t="shared" si="10"/>
        <v>240</v>
      </c>
      <c r="AA89">
        <f t="shared" si="12"/>
        <v>0</v>
      </c>
    </row>
    <row r="90" spans="1:27" x14ac:dyDescent="0.2">
      <c r="A90">
        <v>3</v>
      </c>
      <c r="B90" t="s">
        <v>121</v>
      </c>
      <c r="C90">
        <v>3</v>
      </c>
      <c r="D90" t="s">
        <v>141</v>
      </c>
      <c r="E90" t="s">
        <v>313</v>
      </c>
      <c r="F90">
        <v>1</v>
      </c>
      <c r="G90" t="s">
        <v>314</v>
      </c>
      <c r="H90" t="s">
        <v>317</v>
      </c>
      <c r="I90" t="s">
        <v>124</v>
      </c>
      <c r="M90">
        <v>2</v>
      </c>
      <c r="O90">
        <v>2</v>
      </c>
      <c r="Q90">
        <v>2</v>
      </c>
      <c r="R90">
        <v>2</v>
      </c>
      <c r="U90">
        <f t="shared" si="8"/>
        <v>4</v>
      </c>
      <c r="V90">
        <f t="shared" si="9"/>
        <v>8</v>
      </c>
      <c r="W90" s="4">
        <f t="shared" si="6"/>
        <v>2</v>
      </c>
      <c r="X90" s="4">
        <f t="shared" si="7"/>
        <v>100</v>
      </c>
      <c r="Z90">
        <f t="shared" si="10"/>
        <v>304</v>
      </c>
      <c r="AA90">
        <f t="shared" si="12"/>
        <v>0</v>
      </c>
    </row>
    <row r="91" spans="1:27" x14ac:dyDescent="0.2">
      <c r="A91">
        <v>1</v>
      </c>
      <c r="B91" t="s">
        <v>121</v>
      </c>
      <c r="C91">
        <v>3</v>
      </c>
      <c r="D91" t="s">
        <v>141</v>
      </c>
      <c r="E91" t="s">
        <v>313</v>
      </c>
      <c r="F91">
        <v>1</v>
      </c>
      <c r="G91" t="s">
        <v>318</v>
      </c>
      <c r="H91" t="s">
        <v>319</v>
      </c>
      <c r="I91" t="s">
        <v>124</v>
      </c>
      <c r="M91">
        <v>2</v>
      </c>
      <c r="O91">
        <v>2</v>
      </c>
      <c r="Q91">
        <v>2</v>
      </c>
      <c r="R91">
        <v>2</v>
      </c>
      <c r="U91">
        <f t="shared" si="8"/>
        <v>4</v>
      </c>
      <c r="V91">
        <f t="shared" si="9"/>
        <v>8</v>
      </c>
      <c r="W91" s="4">
        <f t="shared" si="6"/>
        <v>2</v>
      </c>
      <c r="X91" s="4">
        <f t="shared" si="7"/>
        <v>100</v>
      </c>
      <c r="Z91">
        <f t="shared" si="10"/>
        <v>214</v>
      </c>
      <c r="AA91">
        <f t="shared" si="12"/>
        <v>0</v>
      </c>
    </row>
    <row r="92" spans="1:27" x14ac:dyDescent="0.2">
      <c r="A92">
        <v>1</v>
      </c>
      <c r="B92" t="s">
        <v>121</v>
      </c>
      <c r="C92">
        <v>3</v>
      </c>
      <c r="D92" t="s">
        <v>141</v>
      </c>
      <c r="E92" t="s">
        <v>313</v>
      </c>
      <c r="F92">
        <v>2</v>
      </c>
      <c r="G92" t="s">
        <v>318</v>
      </c>
      <c r="H92" t="s">
        <v>320</v>
      </c>
      <c r="I92" t="s">
        <v>124</v>
      </c>
      <c r="M92">
        <v>2</v>
      </c>
      <c r="O92">
        <v>2</v>
      </c>
      <c r="Q92">
        <v>1</v>
      </c>
      <c r="R92">
        <v>2</v>
      </c>
      <c r="U92">
        <f t="shared" si="8"/>
        <v>4</v>
      </c>
      <c r="V92">
        <f t="shared" si="9"/>
        <v>7</v>
      </c>
      <c r="W92" s="4">
        <f t="shared" si="6"/>
        <v>1.75</v>
      </c>
      <c r="X92" s="4">
        <f t="shared" si="7"/>
        <v>87.5</v>
      </c>
      <c r="Y92" t="s">
        <v>321</v>
      </c>
      <c r="Z92">
        <f t="shared" si="10"/>
        <v>209</v>
      </c>
      <c r="AA92">
        <f t="shared" si="12"/>
        <v>0</v>
      </c>
    </row>
    <row r="93" spans="1:27" x14ac:dyDescent="0.2">
      <c r="A93">
        <v>2</v>
      </c>
      <c r="B93" t="s">
        <v>121</v>
      </c>
      <c r="C93">
        <v>3</v>
      </c>
      <c r="D93" t="s">
        <v>141</v>
      </c>
      <c r="E93" t="s">
        <v>313</v>
      </c>
      <c r="F93">
        <v>1</v>
      </c>
      <c r="G93" t="s">
        <v>318</v>
      </c>
      <c r="H93" t="s">
        <v>322</v>
      </c>
      <c r="I93" t="s">
        <v>124</v>
      </c>
      <c r="M93">
        <v>2</v>
      </c>
      <c r="O93">
        <v>2</v>
      </c>
      <c r="Q93">
        <v>2</v>
      </c>
      <c r="R93">
        <v>2</v>
      </c>
      <c r="U93">
        <f t="shared" si="8"/>
        <v>4</v>
      </c>
      <c r="V93">
        <f t="shared" si="9"/>
        <v>8</v>
      </c>
      <c r="W93" s="4">
        <f t="shared" si="6"/>
        <v>2</v>
      </c>
      <c r="X93" s="4">
        <f t="shared" si="7"/>
        <v>100</v>
      </c>
      <c r="Y93" t="s">
        <v>323</v>
      </c>
      <c r="Z93">
        <f t="shared" si="10"/>
        <v>381</v>
      </c>
      <c r="AA93">
        <f>IF(X93&lt;50,1,0)</f>
        <v>0</v>
      </c>
    </row>
    <row r="94" spans="1:27" x14ac:dyDescent="0.2">
      <c r="A94">
        <v>2</v>
      </c>
      <c r="B94" t="s">
        <v>121</v>
      </c>
      <c r="C94">
        <v>3</v>
      </c>
      <c r="D94" t="s">
        <v>141</v>
      </c>
      <c r="E94" t="s">
        <v>313</v>
      </c>
      <c r="F94">
        <v>2</v>
      </c>
      <c r="G94" t="s">
        <v>318</v>
      </c>
      <c r="H94" t="s">
        <v>324</v>
      </c>
      <c r="I94" t="s">
        <v>124</v>
      </c>
      <c r="M94">
        <v>1</v>
      </c>
      <c r="O94">
        <v>2</v>
      </c>
      <c r="Q94">
        <v>1</v>
      </c>
      <c r="R94">
        <v>2</v>
      </c>
      <c r="U94">
        <f t="shared" si="8"/>
        <v>4</v>
      </c>
      <c r="V94">
        <f t="shared" si="9"/>
        <v>6</v>
      </c>
      <c r="W94" s="4">
        <f t="shared" si="6"/>
        <v>1.5</v>
      </c>
      <c r="X94" s="4">
        <f t="shared" si="7"/>
        <v>75</v>
      </c>
      <c r="Y94" t="s">
        <v>321</v>
      </c>
      <c r="Z94">
        <f t="shared" si="10"/>
        <v>310</v>
      </c>
      <c r="AA94">
        <f t="shared" ref="AA94:AA111" si="13">IF(X94&lt;50,1,0)</f>
        <v>0</v>
      </c>
    </row>
    <row r="95" spans="1:27" x14ac:dyDescent="0.2">
      <c r="A95">
        <v>3</v>
      </c>
      <c r="B95" t="s">
        <v>121</v>
      </c>
      <c r="C95">
        <v>3</v>
      </c>
      <c r="D95" t="s">
        <v>141</v>
      </c>
      <c r="E95" t="s">
        <v>313</v>
      </c>
      <c r="F95">
        <v>1</v>
      </c>
      <c r="G95" t="s">
        <v>318</v>
      </c>
      <c r="H95" t="s">
        <v>325</v>
      </c>
      <c r="I95" t="s">
        <v>124</v>
      </c>
      <c r="M95">
        <v>2</v>
      </c>
      <c r="O95">
        <v>2</v>
      </c>
      <c r="Q95">
        <v>2</v>
      </c>
      <c r="R95">
        <v>2</v>
      </c>
      <c r="U95">
        <f t="shared" si="8"/>
        <v>4</v>
      </c>
      <c r="V95">
        <f t="shared" si="9"/>
        <v>8</v>
      </c>
      <c r="W95" s="4">
        <f t="shared" si="6"/>
        <v>2</v>
      </c>
      <c r="X95" s="4">
        <f t="shared" si="7"/>
        <v>100</v>
      </c>
      <c r="Z95">
        <f t="shared" si="10"/>
        <v>291</v>
      </c>
      <c r="AA95">
        <f t="shared" si="13"/>
        <v>0</v>
      </c>
    </row>
    <row r="96" spans="1:27" x14ac:dyDescent="0.2">
      <c r="A96">
        <v>3</v>
      </c>
      <c r="B96" t="s">
        <v>121</v>
      </c>
      <c r="C96">
        <v>3</v>
      </c>
      <c r="D96" t="s">
        <v>141</v>
      </c>
      <c r="E96" t="s">
        <v>313</v>
      </c>
      <c r="F96">
        <v>2</v>
      </c>
      <c r="G96" t="s">
        <v>318</v>
      </c>
      <c r="H96" t="s">
        <v>326</v>
      </c>
      <c r="I96" t="s">
        <v>124</v>
      </c>
      <c r="M96">
        <v>2</v>
      </c>
      <c r="O96">
        <v>2</v>
      </c>
      <c r="Q96">
        <v>1</v>
      </c>
      <c r="R96">
        <v>2</v>
      </c>
      <c r="U96">
        <f t="shared" si="8"/>
        <v>4</v>
      </c>
      <c r="V96">
        <f t="shared" si="9"/>
        <v>7</v>
      </c>
      <c r="W96" s="4">
        <f t="shared" si="6"/>
        <v>1.75</v>
      </c>
      <c r="X96" s="4">
        <f t="shared" si="7"/>
        <v>87.5</v>
      </c>
      <c r="Y96" t="s">
        <v>321</v>
      </c>
      <c r="Z96">
        <f t="shared" si="10"/>
        <v>314</v>
      </c>
      <c r="AA96">
        <f t="shared" si="13"/>
        <v>0</v>
      </c>
    </row>
    <row r="97" spans="1:27" x14ac:dyDescent="0.2">
      <c r="A97">
        <v>1</v>
      </c>
      <c r="B97" t="s">
        <v>121</v>
      </c>
      <c r="C97">
        <v>3</v>
      </c>
      <c r="D97" t="s">
        <v>141</v>
      </c>
      <c r="E97" t="s">
        <v>313</v>
      </c>
      <c r="F97">
        <v>1</v>
      </c>
      <c r="G97" t="s">
        <v>327</v>
      </c>
      <c r="H97" t="s">
        <v>328</v>
      </c>
      <c r="I97" t="s">
        <v>124</v>
      </c>
      <c r="M97">
        <v>2</v>
      </c>
      <c r="O97">
        <v>2</v>
      </c>
      <c r="Q97">
        <v>2</v>
      </c>
      <c r="R97">
        <v>2</v>
      </c>
      <c r="U97">
        <f t="shared" si="8"/>
        <v>4</v>
      </c>
      <c r="V97">
        <f t="shared" si="9"/>
        <v>8</v>
      </c>
      <c r="W97" s="4">
        <f t="shared" si="6"/>
        <v>2</v>
      </c>
      <c r="X97" s="4">
        <f t="shared" si="7"/>
        <v>100</v>
      </c>
      <c r="Z97">
        <f t="shared" si="10"/>
        <v>199</v>
      </c>
      <c r="AA97">
        <f t="shared" si="13"/>
        <v>0</v>
      </c>
    </row>
    <row r="98" spans="1:27" x14ac:dyDescent="0.2">
      <c r="A98">
        <v>1</v>
      </c>
      <c r="B98" t="s">
        <v>121</v>
      </c>
      <c r="C98">
        <v>3</v>
      </c>
      <c r="D98" t="s">
        <v>141</v>
      </c>
      <c r="E98" t="s">
        <v>313</v>
      </c>
      <c r="F98">
        <v>2</v>
      </c>
      <c r="G98" t="s">
        <v>327</v>
      </c>
      <c r="H98" t="s">
        <v>329</v>
      </c>
      <c r="I98" t="s">
        <v>124</v>
      </c>
      <c r="M98">
        <v>1</v>
      </c>
      <c r="O98">
        <v>2</v>
      </c>
      <c r="Q98">
        <v>1</v>
      </c>
      <c r="R98">
        <v>2</v>
      </c>
      <c r="U98">
        <f t="shared" si="8"/>
        <v>4</v>
      </c>
      <c r="V98">
        <f t="shared" si="9"/>
        <v>6</v>
      </c>
      <c r="W98" s="4">
        <f t="shared" si="6"/>
        <v>1.5</v>
      </c>
      <c r="X98" s="4">
        <f t="shared" si="7"/>
        <v>75</v>
      </c>
      <c r="Y98" t="s">
        <v>321</v>
      </c>
      <c r="Z98">
        <f t="shared" si="10"/>
        <v>243</v>
      </c>
      <c r="AA98">
        <f t="shared" si="13"/>
        <v>0</v>
      </c>
    </row>
    <row r="99" spans="1:27" x14ac:dyDescent="0.2">
      <c r="A99">
        <v>1</v>
      </c>
      <c r="B99" t="s">
        <v>121</v>
      </c>
      <c r="C99">
        <v>3</v>
      </c>
      <c r="D99" t="s">
        <v>141</v>
      </c>
      <c r="E99" t="s">
        <v>313</v>
      </c>
      <c r="F99">
        <v>3</v>
      </c>
      <c r="G99" t="s">
        <v>327</v>
      </c>
      <c r="H99" t="s">
        <v>330</v>
      </c>
      <c r="I99" t="s">
        <v>124</v>
      </c>
      <c r="M99">
        <v>1</v>
      </c>
      <c r="O99">
        <v>2</v>
      </c>
      <c r="Q99">
        <v>1</v>
      </c>
      <c r="R99">
        <v>2</v>
      </c>
      <c r="U99">
        <f t="shared" si="8"/>
        <v>4</v>
      </c>
      <c r="V99">
        <f t="shared" si="9"/>
        <v>6</v>
      </c>
      <c r="W99" s="4">
        <f t="shared" si="6"/>
        <v>1.5</v>
      </c>
      <c r="X99" s="4">
        <f t="shared" si="7"/>
        <v>75</v>
      </c>
      <c r="Y99" t="s">
        <v>321</v>
      </c>
      <c r="Z99">
        <f t="shared" si="10"/>
        <v>198</v>
      </c>
      <c r="AA99">
        <f t="shared" si="13"/>
        <v>0</v>
      </c>
    </row>
    <row r="100" spans="1:27" x14ac:dyDescent="0.2">
      <c r="A100">
        <v>2</v>
      </c>
      <c r="B100" t="s">
        <v>121</v>
      </c>
      <c r="C100">
        <v>3</v>
      </c>
      <c r="D100" t="s">
        <v>141</v>
      </c>
      <c r="E100" t="s">
        <v>313</v>
      </c>
      <c r="F100">
        <v>1</v>
      </c>
      <c r="G100" t="s">
        <v>327</v>
      </c>
      <c r="H100" t="s">
        <v>331</v>
      </c>
      <c r="I100" t="s">
        <v>124</v>
      </c>
      <c r="M100">
        <v>2</v>
      </c>
      <c r="O100">
        <v>2</v>
      </c>
      <c r="Q100">
        <v>2</v>
      </c>
      <c r="R100">
        <v>2</v>
      </c>
      <c r="U100">
        <f t="shared" si="8"/>
        <v>4</v>
      </c>
      <c r="V100">
        <f t="shared" si="9"/>
        <v>8</v>
      </c>
      <c r="W100" s="4">
        <f t="shared" si="6"/>
        <v>2</v>
      </c>
      <c r="X100" s="4">
        <f t="shared" si="7"/>
        <v>100</v>
      </c>
      <c r="Z100">
        <f t="shared" si="10"/>
        <v>304</v>
      </c>
      <c r="AA100">
        <f t="shared" si="13"/>
        <v>0</v>
      </c>
    </row>
    <row r="101" spans="1:27" x14ac:dyDescent="0.2">
      <c r="A101">
        <v>2</v>
      </c>
      <c r="B101" t="s">
        <v>121</v>
      </c>
      <c r="C101">
        <v>3</v>
      </c>
      <c r="D101" t="s">
        <v>141</v>
      </c>
      <c r="E101" t="s">
        <v>313</v>
      </c>
      <c r="F101">
        <v>2</v>
      </c>
      <c r="G101" t="s">
        <v>327</v>
      </c>
      <c r="H101" t="s">
        <v>332</v>
      </c>
      <c r="I101" t="s">
        <v>124</v>
      </c>
      <c r="M101">
        <v>1</v>
      </c>
      <c r="O101">
        <v>2</v>
      </c>
      <c r="Q101">
        <v>1</v>
      </c>
      <c r="R101">
        <v>2</v>
      </c>
      <c r="U101">
        <f t="shared" si="8"/>
        <v>4</v>
      </c>
      <c r="V101">
        <f t="shared" si="9"/>
        <v>6</v>
      </c>
      <c r="W101" s="4">
        <f t="shared" si="6"/>
        <v>1.5</v>
      </c>
      <c r="X101" s="4">
        <f t="shared" si="7"/>
        <v>75</v>
      </c>
      <c r="Y101" t="s">
        <v>321</v>
      </c>
      <c r="Z101">
        <f t="shared" si="10"/>
        <v>321</v>
      </c>
      <c r="AA101">
        <f t="shared" si="13"/>
        <v>0</v>
      </c>
    </row>
    <row r="102" spans="1:27" x14ac:dyDescent="0.2">
      <c r="A102">
        <v>2</v>
      </c>
      <c r="B102" t="s">
        <v>121</v>
      </c>
      <c r="C102">
        <v>3</v>
      </c>
      <c r="D102" t="s">
        <v>141</v>
      </c>
      <c r="E102" t="s">
        <v>313</v>
      </c>
      <c r="F102">
        <v>3</v>
      </c>
      <c r="G102" t="s">
        <v>327</v>
      </c>
      <c r="H102" t="s">
        <v>333</v>
      </c>
      <c r="I102" t="s">
        <v>124</v>
      </c>
      <c r="M102">
        <v>1</v>
      </c>
      <c r="O102">
        <v>2</v>
      </c>
      <c r="Q102">
        <v>1</v>
      </c>
      <c r="R102">
        <v>2</v>
      </c>
      <c r="U102">
        <f t="shared" si="8"/>
        <v>4</v>
      </c>
      <c r="V102">
        <f t="shared" si="9"/>
        <v>6</v>
      </c>
      <c r="W102" s="4">
        <f t="shared" si="6"/>
        <v>1.5</v>
      </c>
      <c r="X102" s="4">
        <f t="shared" si="7"/>
        <v>75</v>
      </c>
      <c r="Y102" t="s">
        <v>321</v>
      </c>
      <c r="Z102">
        <f t="shared" si="10"/>
        <v>276</v>
      </c>
      <c r="AA102">
        <f t="shared" si="13"/>
        <v>0</v>
      </c>
    </row>
    <row r="103" spans="1:27" x14ac:dyDescent="0.2">
      <c r="A103">
        <v>3</v>
      </c>
      <c r="B103" t="s">
        <v>121</v>
      </c>
      <c r="C103">
        <v>3</v>
      </c>
      <c r="D103" t="s">
        <v>141</v>
      </c>
      <c r="E103" t="s">
        <v>313</v>
      </c>
      <c r="F103">
        <v>1</v>
      </c>
      <c r="G103" t="s">
        <v>327</v>
      </c>
      <c r="H103" t="s">
        <v>334</v>
      </c>
      <c r="I103" t="s">
        <v>124</v>
      </c>
      <c r="M103">
        <v>2</v>
      </c>
      <c r="O103">
        <v>2</v>
      </c>
      <c r="Q103">
        <v>2</v>
      </c>
      <c r="R103">
        <v>2</v>
      </c>
      <c r="U103">
        <f t="shared" si="8"/>
        <v>4</v>
      </c>
      <c r="V103">
        <f t="shared" si="9"/>
        <v>8</v>
      </c>
      <c r="W103" s="4">
        <f t="shared" si="6"/>
        <v>2</v>
      </c>
      <c r="X103" s="4">
        <f t="shared" si="7"/>
        <v>100</v>
      </c>
      <c r="Z103">
        <f t="shared" si="10"/>
        <v>258</v>
      </c>
      <c r="AA103">
        <f t="shared" si="13"/>
        <v>0</v>
      </c>
    </row>
    <row r="104" spans="1:27" x14ac:dyDescent="0.2">
      <c r="A104">
        <v>3</v>
      </c>
      <c r="B104" t="s">
        <v>121</v>
      </c>
      <c r="C104">
        <v>3</v>
      </c>
      <c r="D104" t="s">
        <v>141</v>
      </c>
      <c r="E104" t="s">
        <v>313</v>
      </c>
      <c r="F104">
        <v>2</v>
      </c>
      <c r="G104" t="s">
        <v>327</v>
      </c>
      <c r="H104" t="s">
        <v>335</v>
      </c>
      <c r="I104" t="s">
        <v>124</v>
      </c>
      <c r="M104">
        <v>2</v>
      </c>
      <c r="O104">
        <v>2</v>
      </c>
      <c r="Q104">
        <v>2</v>
      </c>
      <c r="R104">
        <v>2</v>
      </c>
      <c r="U104">
        <f t="shared" si="8"/>
        <v>4</v>
      </c>
      <c r="V104">
        <f t="shared" si="9"/>
        <v>8</v>
      </c>
      <c r="W104" s="4">
        <f t="shared" si="6"/>
        <v>2</v>
      </c>
      <c r="X104" s="4">
        <f t="shared" si="7"/>
        <v>100</v>
      </c>
      <c r="Y104" t="s">
        <v>321</v>
      </c>
      <c r="Z104">
        <f t="shared" si="10"/>
        <v>344</v>
      </c>
      <c r="AA104">
        <f t="shared" si="13"/>
        <v>0</v>
      </c>
    </row>
    <row r="105" spans="1:27" x14ac:dyDescent="0.2">
      <c r="A105">
        <v>3</v>
      </c>
      <c r="B105" t="s">
        <v>121</v>
      </c>
      <c r="C105">
        <v>3</v>
      </c>
      <c r="D105" t="s">
        <v>141</v>
      </c>
      <c r="E105" t="s">
        <v>313</v>
      </c>
      <c r="F105">
        <v>3</v>
      </c>
      <c r="G105" t="s">
        <v>327</v>
      </c>
      <c r="H105" t="s">
        <v>336</v>
      </c>
      <c r="I105" t="s">
        <v>124</v>
      </c>
      <c r="M105">
        <v>2</v>
      </c>
      <c r="O105">
        <v>2</v>
      </c>
      <c r="Q105">
        <v>2</v>
      </c>
      <c r="R105">
        <v>2</v>
      </c>
      <c r="U105">
        <f t="shared" si="8"/>
        <v>4</v>
      </c>
      <c r="V105">
        <f t="shared" si="9"/>
        <v>8</v>
      </c>
      <c r="W105" s="4">
        <f t="shared" si="6"/>
        <v>2</v>
      </c>
      <c r="X105" s="4">
        <f t="shared" si="7"/>
        <v>100</v>
      </c>
      <c r="Y105" t="s">
        <v>321</v>
      </c>
      <c r="Z105">
        <f t="shared" si="10"/>
        <v>323</v>
      </c>
      <c r="AA105">
        <f t="shared" si="13"/>
        <v>0</v>
      </c>
    </row>
    <row r="106" spans="1:27" x14ac:dyDescent="0.2">
      <c r="A106">
        <v>1</v>
      </c>
      <c r="B106" t="s">
        <v>121</v>
      </c>
      <c r="C106">
        <v>3</v>
      </c>
      <c r="D106" t="s">
        <v>141</v>
      </c>
      <c r="E106" t="s">
        <v>313</v>
      </c>
      <c r="F106">
        <v>1</v>
      </c>
      <c r="G106" t="s">
        <v>337</v>
      </c>
      <c r="H106" t="s">
        <v>338</v>
      </c>
      <c r="I106" t="s">
        <v>124</v>
      </c>
      <c r="M106">
        <v>2</v>
      </c>
      <c r="O106">
        <v>1</v>
      </c>
      <c r="Q106">
        <v>2</v>
      </c>
      <c r="R106">
        <v>2</v>
      </c>
      <c r="U106">
        <f t="shared" si="8"/>
        <v>4</v>
      </c>
      <c r="V106">
        <f t="shared" si="9"/>
        <v>7</v>
      </c>
      <c r="W106" s="4">
        <f t="shared" si="6"/>
        <v>1.75</v>
      </c>
      <c r="X106" s="4">
        <f t="shared" si="7"/>
        <v>87.5</v>
      </c>
      <c r="Z106">
        <f t="shared" si="10"/>
        <v>201</v>
      </c>
      <c r="AA106">
        <f t="shared" si="13"/>
        <v>0</v>
      </c>
    </row>
    <row r="107" spans="1:27" x14ac:dyDescent="0.2">
      <c r="A107">
        <v>1</v>
      </c>
      <c r="B107" t="s">
        <v>121</v>
      </c>
      <c r="C107">
        <v>3</v>
      </c>
      <c r="D107" t="s">
        <v>141</v>
      </c>
      <c r="E107" t="s">
        <v>313</v>
      </c>
      <c r="F107">
        <v>2</v>
      </c>
      <c r="G107" t="s">
        <v>337</v>
      </c>
      <c r="H107" t="s">
        <v>339</v>
      </c>
      <c r="I107" t="s">
        <v>124</v>
      </c>
      <c r="M107">
        <v>2</v>
      </c>
      <c r="O107">
        <v>2</v>
      </c>
      <c r="Q107">
        <v>2</v>
      </c>
      <c r="R107">
        <v>2</v>
      </c>
      <c r="U107">
        <f t="shared" si="8"/>
        <v>4</v>
      </c>
      <c r="V107">
        <f t="shared" si="9"/>
        <v>8</v>
      </c>
      <c r="W107" s="4">
        <f t="shared" si="6"/>
        <v>2</v>
      </c>
      <c r="X107" s="4">
        <f t="shared" si="7"/>
        <v>100</v>
      </c>
      <c r="Z107">
        <f t="shared" si="10"/>
        <v>216</v>
      </c>
      <c r="AA107">
        <f t="shared" si="13"/>
        <v>0</v>
      </c>
    </row>
    <row r="108" spans="1:27" x14ac:dyDescent="0.2">
      <c r="A108">
        <v>1</v>
      </c>
      <c r="B108" t="s">
        <v>121</v>
      </c>
      <c r="C108">
        <v>3</v>
      </c>
      <c r="D108" t="s">
        <v>141</v>
      </c>
      <c r="E108" t="s">
        <v>313</v>
      </c>
      <c r="F108">
        <v>3</v>
      </c>
      <c r="G108" t="s">
        <v>337</v>
      </c>
      <c r="H108" t="s">
        <v>340</v>
      </c>
      <c r="I108" t="s">
        <v>124</v>
      </c>
      <c r="M108">
        <v>2</v>
      </c>
      <c r="O108">
        <v>2</v>
      </c>
      <c r="Q108">
        <v>2</v>
      </c>
      <c r="R108">
        <v>2</v>
      </c>
      <c r="U108">
        <f t="shared" si="8"/>
        <v>4</v>
      </c>
      <c r="V108">
        <f t="shared" si="9"/>
        <v>8</v>
      </c>
      <c r="W108" s="4">
        <f t="shared" si="6"/>
        <v>2</v>
      </c>
      <c r="X108" s="4">
        <f t="shared" si="7"/>
        <v>100</v>
      </c>
      <c r="Z108">
        <f t="shared" si="10"/>
        <v>236</v>
      </c>
      <c r="AA108">
        <f t="shared" si="13"/>
        <v>0</v>
      </c>
    </row>
    <row r="109" spans="1:27" x14ac:dyDescent="0.2">
      <c r="A109">
        <v>2</v>
      </c>
      <c r="B109" t="s">
        <v>121</v>
      </c>
      <c r="C109">
        <v>3</v>
      </c>
      <c r="D109" t="s">
        <v>141</v>
      </c>
      <c r="E109" t="s">
        <v>313</v>
      </c>
      <c r="F109">
        <v>1</v>
      </c>
      <c r="G109" t="s">
        <v>337</v>
      </c>
      <c r="H109" t="s">
        <v>341</v>
      </c>
      <c r="I109" t="s">
        <v>124</v>
      </c>
      <c r="M109">
        <v>2</v>
      </c>
      <c r="O109">
        <v>2</v>
      </c>
      <c r="Q109">
        <v>2</v>
      </c>
      <c r="R109">
        <v>2</v>
      </c>
      <c r="U109">
        <f t="shared" si="8"/>
        <v>4</v>
      </c>
      <c r="V109">
        <f t="shared" si="9"/>
        <v>8</v>
      </c>
      <c r="W109" s="4">
        <f t="shared" si="6"/>
        <v>2</v>
      </c>
      <c r="X109" s="4">
        <f t="shared" si="7"/>
        <v>100</v>
      </c>
      <c r="Z109">
        <f t="shared" si="10"/>
        <v>317</v>
      </c>
      <c r="AA109">
        <f t="shared" si="13"/>
        <v>0</v>
      </c>
    </row>
    <row r="110" spans="1:27" x14ac:dyDescent="0.2">
      <c r="A110">
        <v>2</v>
      </c>
      <c r="B110" t="s">
        <v>121</v>
      </c>
      <c r="C110">
        <v>3</v>
      </c>
      <c r="D110" t="s">
        <v>141</v>
      </c>
      <c r="E110" t="s">
        <v>313</v>
      </c>
      <c r="F110">
        <v>2</v>
      </c>
      <c r="G110" t="s">
        <v>337</v>
      </c>
      <c r="H110" t="s">
        <v>342</v>
      </c>
      <c r="I110" t="s">
        <v>124</v>
      </c>
      <c r="M110">
        <v>2</v>
      </c>
      <c r="O110">
        <v>2</v>
      </c>
      <c r="Q110">
        <v>2</v>
      </c>
      <c r="R110">
        <v>2</v>
      </c>
      <c r="U110">
        <f t="shared" si="8"/>
        <v>4</v>
      </c>
      <c r="V110">
        <f t="shared" si="9"/>
        <v>8</v>
      </c>
      <c r="W110" s="4">
        <f t="shared" si="6"/>
        <v>2</v>
      </c>
      <c r="X110" s="4">
        <f t="shared" si="7"/>
        <v>100</v>
      </c>
      <c r="Z110">
        <f t="shared" si="10"/>
        <v>374</v>
      </c>
      <c r="AA110">
        <f t="shared" si="13"/>
        <v>0</v>
      </c>
    </row>
    <row r="111" spans="1:27" x14ac:dyDescent="0.2">
      <c r="A111">
        <v>2</v>
      </c>
      <c r="B111" t="s">
        <v>121</v>
      </c>
      <c r="C111">
        <v>3</v>
      </c>
      <c r="D111" t="s">
        <v>141</v>
      </c>
      <c r="E111" t="s">
        <v>313</v>
      </c>
      <c r="F111">
        <v>3</v>
      </c>
      <c r="G111" t="s">
        <v>337</v>
      </c>
      <c r="H111" t="s">
        <v>343</v>
      </c>
      <c r="I111" t="s">
        <v>124</v>
      </c>
      <c r="M111">
        <v>2</v>
      </c>
      <c r="O111">
        <v>2</v>
      </c>
      <c r="Q111">
        <v>2</v>
      </c>
      <c r="R111">
        <v>2</v>
      </c>
      <c r="U111">
        <f t="shared" si="8"/>
        <v>4</v>
      </c>
      <c r="V111">
        <f t="shared" si="9"/>
        <v>8</v>
      </c>
      <c r="W111" s="4">
        <f t="shared" si="6"/>
        <v>2</v>
      </c>
      <c r="X111" s="4">
        <f t="shared" si="7"/>
        <v>100</v>
      </c>
      <c r="Z111">
        <f t="shared" si="10"/>
        <v>242</v>
      </c>
      <c r="AA111">
        <f t="shared" si="13"/>
        <v>0</v>
      </c>
    </row>
    <row r="112" spans="1:27" x14ac:dyDescent="0.2">
      <c r="A112">
        <v>3</v>
      </c>
      <c r="B112" t="s">
        <v>121</v>
      </c>
      <c r="C112">
        <v>3</v>
      </c>
      <c r="D112" t="s">
        <v>141</v>
      </c>
      <c r="E112" t="s">
        <v>313</v>
      </c>
      <c r="F112">
        <v>1</v>
      </c>
      <c r="G112" t="s">
        <v>337</v>
      </c>
      <c r="H112" t="s">
        <v>344</v>
      </c>
      <c r="I112" t="s">
        <v>124</v>
      </c>
      <c r="M112">
        <v>2</v>
      </c>
      <c r="O112">
        <v>2</v>
      </c>
      <c r="Q112">
        <v>2</v>
      </c>
      <c r="R112">
        <v>2</v>
      </c>
      <c r="U112">
        <f t="shared" si="8"/>
        <v>4</v>
      </c>
      <c r="V112">
        <f t="shared" si="9"/>
        <v>8</v>
      </c>
      <c r="W112" s="4">
        <f t="shared" si="6"/>
        <v>2</v>
      </c>
      <c r="X112" s="4">
        <f t="shared" si="7"/>
        <v>100</v>
      </c>
      <c r="Z112">
        <f t="shared" si="10"/>
        <v>322</v>
      </c>
      <c r="AA112">
        <f>IF(X112&lt;50,1,0)</f>
        <v>0</v>
      </c>
    </row>
    <row r="113" spans="1:27" x14ac:dyDescent="0.2">
      <c r="A113">
        <v>3</v>
      </c>
      <c r="B113" t="s">
        <v>121</v>
      </c>
      <c r="C113">
        <v>3</v>
      </c>
      <c r="D113" t="s">
        <v>141</v>
      </c>
      <c r="E113" t="s">
        <v>313</v>
      </c>
      <c r="F113">
        <v>2</v>
      </c>
      <c r="G113" t="s">
        <v>337</v>
      </c>
      <c r="H113" t="s">
        <v>345</v>
      </c>
      <c r="I113" t="s">
        <v>124</v>
      </c>
      <c r="M113">
        <v>2</v>
      </c>
      <c r="O113">
        <v>2</v>
      </c>
      <c r="Q113">
        <v>2</v>
      </c>
      <c r="R113">
        <v>2</v>
      </c>
      <c r="U113">
        <f t="shared" si="8"/>
        <v>4</v>
      </c>
      <c r="V113">
        <f t="shared" si="9"/>
        <v>8</v>
      </c>
      <c r="W113" s="4">
        <f t="shared" si="6"/>
        <v>2</v>
      </c>
      <c r="X113" s="4">
        <f t="shared" si="7"/>
        <v>100</v>
      </c>
      <c r="Z113">
        <f t="shared" si="10"/>
        <v>290</v>
      </c>
      <c r="AA113">
        <f t="shared" ref="AA113:AA129" si="14">IF(X113&lt;50,1,0)</f>
        <v>0</v>
      </c>
    </row>
    <row r="114" spans="1:27" x14ac:dyDescent="0.2">
      <c r="A114">
        <v>3</v>
      </c>
      <c r="B114" t="s">
        <v>121</v>
      </c>
      <c r="C114">
        <v>3</v>
      </c>
      <c r="D114" t="s">
        <v>141</v>
      </c>
      <c r="E114" t="s">
        <v>313</v>
      </c>
      <c r="F114">
        <v>3</v>
      </c>
      <c r="G114" t="s">
        <v>337</v>
      </c>
      <c r="H114" t="s">
        <v>346</v>
      </c>
      <c r="I114" t="s">
        <v>124</v>
      </c>
      <c r="M114">
        <v>2</v>
      </c>
      <c r="O114">
        <v>2</v>
      </c>
      <c r="Q114">
        <v>2</v>
      </c>
      <c r="R114">
        <v>2</v>
      </c>
      <c r="U114">
        <f t="shared" si="8"/>
        <v>4</v>
      </c>
      <c r="V114">
        <f t="shared" si="9"/>
        <v>8</v>
      </c>
      <c r="W114" s="4">
        <f t="shared" si="6"/>
        <v>2</v>
      </c>
      <c r="X114" s="4">
        <f t="shared" si="7"/>
        <v>100</v>
      </c>
      <c r="Z114">
        <f t="shared" si="10"/>
        <v>323</v>
      </c>
      <c r="AA114">
        <f t="shared" si="14"/>
        <v>0</v>
      </c>
    </row>
    <row r="115" spans="1:27" x14ac:dyDescent="0.2">
      <c r="A115">
        <v>3</v>
      </c>
      <c r="B115" t="s">
        <v>121</v>
      </c>
      <c r="C115">
        <v>3</v>
      </c>
      <c r="D115" t="s">
        <v>141</v>
      </c>
      <c r="E115" t="s">
        <v>313</v>
      </c>
      <c r="F115">
        <v>4</v>
      </c>
      <c r="G115" t="s">
        <v>337</v>
      </c>
      <c r="H115" t="s">
        <v>347</v>
      </c>
      <c r="I115" t="s">
        <v>124</v>
      </c>
      <c r="M115">
        <v>2</v>
      </c>
      <c r="O115">
        <v>2</v>
      </c>
      <c r="Q115">
        <v>2</v>
      </c>
      <c r="R115">
        <v>2</v>
      </c>
      <c r="U115">
        <f t="shared" si="8"/>
        <v>4</v>
      </c>
      <c r="V115">
        <f t="shared" si="9"/>
        <v>8</v>
      </c>
      <c r="W115" s="4">
        <f t="shared" si="6"/>
        <v>2</v>
      </c>
      <c r="X115" s="4">
        <f t="shared" si="7"/>
        <v>100</v>
      </c>
      <c r="Z115">
        <f t="shared" si="10"/>
        <v>335</v>
      </c>
      <c r="AA115">
        <f t="shared" si="14"/>
        <v>0</v>
      </c>
    </row>
    <row r="116" spans="1:27" x14ac:dyDescent="0.2">
      <c r="A116">
        <v>1</v>
      </c>
      <c r="B116" t="s">
        <v>121</v>
      </c>
      <c r="C116">
        <v>6</v>
      </c>
      <c r="D116" t="s">
        <v>144</v>
      </c>
      <c r="E116" t="s">
        <v>348</v>
      </c>
      <c r="F116">
        <v>1</v>
      </c>
      <c r="G116" t="s">
        <v>349</v>
      </c>
      <c r="H116" t="s">
        <v>232</v>
      </c>
      <c r="I116" t="s">
        <v>280</v>
      </c>
      <c r="M116">
        <v>2</v>
      </c>
      <c r="O116">
        <v>2</v>
      </c>
      <c r="Q116">
        <v>2</v>
      </c>
      <c r="R116">
        <v>2</v>
      </c>
      <c r="T116">
        <v>2</v>
      </c>
      <c r="U116">
        <f t="shared" si="8"/>
        <v>5</v>
      </c>
      <c r="V116">
        <f t="shared" si="9"/>
        <v>10</v>
      </c>
      <c r="W116" s="4">
        <f t="shared" si="6"/>
        <v>2</v>
      </c>
      <c r="X116" s="4">
        <f t="shared" si="7"/>
        <v>100</v>
      </c>
      <c r="Z116">
        <f t="shared" si="10"/>
        <v>24</v>
      </c>
      <c r="AA116">
        <f t="shared" si="14"/>
        <v>0</v>
      </c>
    </row>
    <row r="117" spans="1:27" x14ac:dyDescent="0.2">
      <c r="A117">
        <v>2</v>
      </c>
      <c r="B117" t="s">
        <v>121</v>
      </c>
      <c r="C117">
        <v>6</v>
      </c>
      <c r="D117" t="s">
        <v>144</v>
      </c>
      <c r="E117" t="s">
        <v>348</v>
      </c>
      <c r="F117">
        <v>1</v>
      </c>
      <c r="G117" t="s">
        <v>349</v>
      </c>
      <c r="H117" t="s">
        <v>232</v>
      </c>
      <c r="I117" t="s">
        <v>280</v>
      </c>
      <c r="M117">
        <v>2</v>
      </c>
      <c r="O117">
        <v>2</v>
      </c>
      <c r="Q117">
        <v>2</v>
      </c>
      <c r="R117">
        <v>2</v>
      </c>
      <c r="T117">
        <v>2</v>
      </c>
      <c r="U117">
        <f t="shared" si="8"/>
        <v>5</v>
      </c>
      <c r="V117">
        <f t="shared" si="9"/>
        <v>10</v>
      </c>
      <c r="W117" s="4">
        <f t="shared" si="6"/>
        <v>2</v>
      </c>
      <c r="X117" s="4">
        <f t="shared" si="7"/>
        <v>100</v>
      </c>
      <c r="Z117">
        <f t="shared" si="10"/>
        <v>24</v>
      </c>
      <c r="AA117">
        <f t="shared" si="14"/>
        <v>0</v>
      </c>
    </row>
    <row r="118" spans="1:27" x14ac:dyDescent="0.2">
      <c r="A118">
        <v>3</v>
      </c>
      <c r="B118" t="s">
        <v>121</v>
      </c>
      <c r="C118">
        <v>6</v>
      </c>
      <c r="D118" t="s">
        <v>144</v>
      </c>
      <c r="E118" t="s">
        <v>348</v>
      </c>
      <c r="F118">
        <v>1</v>
      </c>
      <c r="G118" t="s">
        <v>349</v>
      </c>
      <c r="H118" t="s">
        <v>232</v>
      </c>
      <c r="I118" t="s">
        <v>280</v>
      </c>
      <c r="M118">
        <v>2</v>
      </c>
      <c r="O118">
        <v>2</v>
      </c>
      <c r="Q118">
        <v>2</v>
      </c>
      <c r="R118">
        <v>2</v>
      </c>
      <c r="T118">
        <v>2</v>
      </c>
      <c r="U118">
        <f t="shared" si="8"/>
        <v>5</v>
      </c>
      <c r="V118">
        <f t="shared" si="9"/>
        <v>10</v>
      </c>
      <c r="W118" s="4">
        <f t="shared" si="6"/>
        <v>2</v>
      </c>
      <c r="X118" s="4">
        <f t="shared" si="7"/>
        <v>100</v>
      </c>
      <c r="Z118">
        <f t="shared" si="10"/>
        <v>24</v>
      </c>
      <c r="AA118">
        <f t="shared" si="14"/>
        <v>0</v>
      </c>
    </row>
    <row r="119" spans="1:27" x14ac:dyDescent="0.2">
      <c r="A119">
        <v>1</v>
      </c>
      <c r="B119" t="s">
        <v>121</v>
      </c>
      <c r="C119">
        <v>6</v>
      </c>
      <c r="D119" t="s">
        <v>144</v>
      </c>
      <c r="E119" t="s">
        <v>348</v>
      </c>
      <c r="F119">
        <v>1</v>
      </c>
      <c r="G119" t="s">
        <v>350</v>
      </c>
      <c r="H119" t="s">
        <v>232</v>
      </c>
      <c r="I119" t="s">
        <v>280</v>
      </c>
      <c r="M119">
        <v>2</v>
      </c>
      <c r="O119">
        <v>2</v>
      </c>
      <c r="Q119">
        <v>2</v>
      </c>
      <c r="R119">
        <v>2</v>
      </c>
      <c r="T119">
        <v>2</v>
      </c>
      <c r="U119">
        <f t="shared" si="8"/>
        <v>5</v>
      </c>
      <c r="V119">
        <f t="shared" si="9"/>
        <v>10</v>
      </c>
      <c r="W119" s="4">
        <f t="shared" si="6"/>
        <v>2</v>
      </c>
      <c r="X119" s="4">
        <f t="shared" si="7"/>
        <v>100</v>
      </c>
      <c r="Z119">
        <f t="shared" si="10"/>
        <v>24</v>
      </c>
      <c r="AA119">
        <f t="shared" si="14"/>
        <v>0</v>
      </c>
    </row>
    <row r="120" spans="1:27" x14ac:dyDescent="0.2">
      <c r="A120">
        <v>2</v>
      </c>
      <c r="B120" t="s">
        <v>121</v>
      </c>
      <c r="C120">
        <v>6</v>
      </c>
      <c r="D120" t="s">
        <v>144</v>
      </c>
      <c r="E120" t="s">
        <v>348</v>
      </c>
      <c r="F120">
        <v>1</v>
      </c>
      <c r="G120" t="s">
        <v>350</v>
      </c>
      <c r="H120" t="s">
        <v>232</v>
      </c>
      <c r="I120" t="s">
        <v>280</v>
      </c>
      <c r="M120">
        <v>2</v>
      </c>
      <c r="O120">
        <v>2</v>
      </c>
      <c r="Q120">
        <v>2</v>
      </c>
      <c r="R120">
        <v>2</v>
      </c>
      <c r="T120">
        <v>2</v>
      </c>
      <c r="U120">
        <f t="shared" si="8"/>
        <v>5</v>
      </c>
      <c r="V120">
        <f t="shared" si="9"/>
        <v>10</v>
      </c>
      <c r="W120" s="4">
        <f t="shared" si="6"/>
        <v>2</v>
      </c>
      <c r="X120" s="4">
        <f t="shared" si="7"/>
        <v>100</v>
      </c>
      <c r="Z120">
        <f t="shared" si="10"/>
        <v>24</v>
      </c>
      <c r="AA120">
        <f t="shared" si="14"/>
        <v>0</v>
      </c>
    </row>
    <row r="121" spans="1:27" x14ac:dyDescent="0.2">
      <c r="A121">
        <v>3</v>
      </c>
      <c r="B121" t="s">
        <v>121</v>
      </c>
      <c r="C121">
        <v>6</v>
      </c>
      <c r="D121" t="s">
        <v>144</v>
      </c>
      <c r="E121" t="s">
        <v>348</v>
      </c>
      <c r="F121">
        <v>1</v>
      </c>
      <c r="G121" t="s">
        <v>350</v>
      </c>
      <c r="H121" t="s">
        <v>232</v>
      </c>
      <c r="I121" t="s">
        <v>280</v>
      </c>
      <c r="M121">
        <v>2</v>
      </c>
      <c r="O121">
        <v>2</v>
      </c>
      <c r="Q121">
        <v>2</v>
      </c>
      <c r="R121">
        <v>2</v>
      </c>
      <c r="T121">
        <v>2</v>
      </c>
      <c r="U121">
        <f t="shared" si="8"/>
        <v>5</v>
      </c>
      <c r="V121">
        <f t="shared" si="9"/>
        <v>10</v>
      </c>
      <c r="W121" s="4">
        <f t="shared" si="6"/>
        <v>2</v>
      </c>
      <c r="X121" s="4">
        <f t="shared" si="7"/>
        <v>100</v>
      </c>
      <c r="Z121">
        <f t="shared" si="10"/>
        <v>24</v>
      </c>
      <c r="AA121">
        <f t="shared" si="14"/>
        <v>0</v>
      </c>
    </row>
    <row r="122" spans="1:27" x14ac:dyDescent="0.2">
      <c r="A122">
        <v>1</v>
      </c>
      <c r="B122" t="s">
        <v>121</v>
      </c>
      <c r="C122">
        <v>6</v>
      </c>
      <c r="D122" t="s">
        <v>144</v>
      </c>
      <c r="E122" t="s">
        <v>348</v>
      </c>
      <c r="F122">
        <v>1</v>
      </c>
      <c r="G122" t="s">
        <v>351</v>
      </c>
      <c r="H122" t="s">
        <v>232</v>
      </c>
      <c r="I122" t="s">
        <v>280</v>
      </c>
      <c r="M122">
        <v>2</v>
      </c>
      <c r="O122">
        <v>2</v>
      </c>
      <c r="Q122">
        <v>2</v>
      </c>
      <c r="R122">
        <v>2</v>
      </c>
      <c r="T122">
        <v>2</v>
      </c>
      <c r="U122">
        <f t="shared" si="8"/>
        <v>5</v>
      </c>
      <c r="V122">
        <f t="shared" si="9"/>
        <v>10</v>
      </c>
      <c r="W122" s="4">
        <f t="shared" si="6"/>
        <v>2</v>
      </c>
      <c r="X122" s="4">
        <f t="shared" si="7"/>
        <v>100</v>
      </c>
      <c r="Z122">
        <f t="shared" si="10"/>
        <v>24</v>
      </c>
      <c r="AA122">
        <f t="shared" si="14"/>
        <v>0</v>
      </c>
    </row>
    <row r="123" spans="1:27" x14ac:dyDescent="0.2">
      <c r="A123">
        <v>2</v>
      </c>
      <c r="B123" t="s">
        <v>121</v>
      </c>
      <c r="C123">
        <v>6</v>
      </c>
      <c r="D123" t="s">
        <v>144</v>
      </c>
      <c r="E123" t="s">
        <v>348</v>
      </c>
      <c r="F123">
        <v>1</v>
      </c>
      <c r="G123" t="s">
        <v>351</v>
      </c>
      <c r="H123" t="s">
        <v>232</v>
      </c>
      <c r="I123" t="s">
        <v>280</v>
      </c>
      <c r="M123">
        <v>2</v>
      </c>
      <c r="O123">
        <v>2</v>
      </c>
      <c r="Q123">
        <v>2</v>
      </c>
      <c r="R123">
        <v>2</v>
      </c>
      <c r="T123">
        <v>2</v>
      </c>
      <c r="U123">
        <f t="shared" si="8"/>
        <v>5</v>
      </c>
      <c r="V123">
        <f t="shared" si="9"/>
        <v>10</v>
      </c>
      <c r="W123" s="4">
        <f t="shared" si="6"/>
        <v>2</v>
      </c>
      <c r="X123" s="4">
        <f t="shared" si="7"/>
        <v>100</v>
      </c>
      <c r="Z123">
        <f t="shared" si="10"/>
        <v>24</v>
      </c>
      <c r="AA123">
        <f t="shared" si="14"/>
        <v>0</v>
      </c>
    </row>
    <row r="124" spans="1:27" x14ac:dyDescent="0.2">
      <c r="A124">
        <v>3</v>
      </c>
      <c r="B124" t="s">
        <v>121</v>
      </c>
      <c r="C124">
        <v>6</v>
      </c>
      <c r="D124" t="s">
        <v>144</v>
      </c>
      <c r="E124" t="s">
        <v>348</v>
      </c>
      <c r="F124">
        <v>1</v>
      </c>
      <c r="G124" t="s">
        <v>351</v>
      </c>
      <c r="H124" t="s">
        <v>232</v>
      </c>
      <c r="I124" t="s">
        <v>280</v>
      </c>
      <c r="M124">
        <v>2</v>
      </c>
      <c r="O124">
        <v>2</v>
      </c>
      <c r="Q124">
        <v>2</v>
      </c>
      <c r="R124">
        <v>2</v>
      </c>
      <c r="T124">
        <v>2</v>
      </c>
      <c r="U124">
        <f t="shared" si="8"/>
        <v>5</v>
      </c>
      <c r="V124">
        <f t="shared" si="9"/>
        <v>10</v>
      </c>
      <c r="W124" s="4">
        <f t="shared" si="6"/>
        <v>2</v>
      </c>
      <c r="X124" s="4">
        <f t="shared" si="7"/>
        <v>100</v>
      </c>
      <c r="Z124">
        <f t="shared" si="10"/>
        <v>24</v>
      </c>
      <c r="AA124">
        <f t="shared" si="14"/>
        <v>0</v>
      </c>
    </row>
    <row r="125" spans="1:27" x14ac:dyDescent="0.2">
      <c r="A125">
        <v>1</v>
      </c>
      <c r="B125" t="s">
        <v>121</v>
      </c>
      <c r="C125">
        <v>10</v>
      </c>
      <c r="D125" t="s">
        <v>148</v>
      </c>
      <c r="E125" t="s">
        <v>352</v>
      </c>
      <c r="F125">
        <v>1</v>
      </c>
      <c r="G125" t="s">
        <v>353</v>
      </c>
      <c r="H125" t="s">
        <v>354</v>
      </c>
      <c r="I125" t="s">
        <v>280</v>
      </c>
      <c r="M125">
        <v>2</v>
      </c>
      <c r="Q125">
        <v>2</v>
      </c>
      <c r="R125">
        <v>2</v>
      </c>
      <c r="T125">
        <v>2</v>
      </c>
      <c r="U125">
        <f t="shared" si="8"/>
        <v>4</v>
      </c>
      <c r="V125">
        <f t="shared" si="9"/>
        <v>8</v>
      </c>
      <c r="W125" s="4">
        <f t="shared" si="6"/>
        <v>2</v>
      </c>
      <c r="X125" s="4">
        <f t="shared" si="7"/>
        <v>100</v>
      </c>
      <c r="Z125">
        <f t="shared" si="10"/>
        <v>340</v>
      </c>
      <c r="AA125">
        <f t="shared" si="14"/>
        <v>0</v>
      </c>
    </row>
    <row r="126" spans="1:27" x14ac:dyDescent="0.2">
      <c r="A126">
        <v>2</v>
      </c>
      <c r="B126" t="s">
        <v>121</v>
      </c>
      <c r="C126">
        <v>10</v>
      </c>
      <c r="D126" t="s">
        <v>148</v>
      </c>
      <c r="E126" t="s">
        <v>352</v>
      </c>
      <c r="F126">
        <v>1</v>
      </c>
      <c r="G126" t="s">
        <v>353</v>
      </c>
      <c r="H126" t="s">
        <v>355</v>
      </c>
      <c r="I126" t="s">
        <v>280</v>
      </c>
      <c r="M126">
        <v>0</v>
      </c>
      <c r="Q126">
        <v>0</v>
      </c>
      <c r="R126">
        <v>1</v>
      </c>
      <c r="T126">
        <v>0</v>
      </c>
      <c r="U126">
        <f t="shared" si="8"/>
        <v>4</v>
      </c>
      <c r="V126">
        <f t="shared" si="9"/>
        <v>1</v>
      </c>
      <c r="W126" s="4">
        <f t="shared" si="6"/>
        <v>0.25</v>
      </c>
      <c r="X126" s="4">
        <f t="shared" si="7"/>
        <v>12.5</v>
      </c>
      <c r="Z126">
        <f t="shared" si="10"/>
        <v>869</v>
      </c>
      <c r="AA126">
        <f t="shared" si="14"/>
        <v>1</v>
      </c>
    </row>
    <row r="127" spans="1:27" x14ac:dyDescent="0.2">
      <c r="A127">
        <v>2</v>
      </c>
      <c r="B127" t="s">
        <v>121</v>
      </c>
      <c r="C127">
        <v>10</v>
      </c>
      <c r="D127" t="s">
        <v>148</v>
      </c>
      <c r="E127" t="s">
        <v>352</v>
      </c>
      <c r="F127">
        <v>2</v>
      </c>
      <c r="G127" t="s">
        <v>356</v>
      </c>
      <c r="H127" t="s">
        <v>357</v>
      </c>
      <c r="I127" t="s">
        <v>280</v>
      </c>
      <c r="M127">
        <v>2</v>
      </c>
      <c r="Q127">
        <v>2</v>
      </c>
      <c r="R127">
        <v>2</v>
      </c>
      <c r="T127">
        <v>2</v>
      </c>
      <c r="U127">
        <f t="shared" si="8"/>
        <v>4</v>
      </c>
      <c r="V127">
        <f t="shared" si="9"/>
        <v>8</v>
      </c>
      <c r="W127" s="4">
        <f t="shared" si="6"/>
        <v>2</v>
      </c>
      <c r="X127" s="4">
        <f t="shared" si="7"/>
        <v>100</v>
      </c>
      <c r="Y127" t="s">
        <v>358</v>
      </c>
      <c r="Z127">
        <f t="shared" si="10"/>
        <v>496</v>
      </c>
      <c r="AA127">
        <f t="shared" si="14"/>
        <v>0</v>
      </c>
    </row>
    <row r="128" spans="1:27" x14ac:dyDescent="0.2">
      <c r="A128">
        <v>3</v>
      </c>
      <c r="B128" t="s">
        <v>121</v>
      </c>
      <c r="C128">
        <v>10</v>
      </c>
      <c r="D128" t="s">
        <v>148</v>
      </c>
      <c r="E128" t="s">
        <v>352</v>
      </c>
      <c r="F128">
        <v>1</v>
      </c>
      <c r="G128" t="s">
        <v>353</v>
      </c>
      <c r="H128" t="s">
        <v>359</v>
      </c>
      <c r="I128" t="s">
        <v>280</v>
      </c>
      <c r="M128">
        <v>2</v>
      </c>
      <c r="Q128">
        <v>2</v>
      </c>
      <c r="R128">
        <v>2</v>
      </c>
      <c r="T128">
        <v>2</v>
      </c>
      <c r="U128">
        <f t="shared" si="8"/>
        <v>4</v>
      </c>
      <c r="V128">
        <f t="shared" si="9"/>
        <v>8</v>
      </c>
      <c r="W128" s="4">
        <f t="shared" si="6"/>
        <v>2</v>
      </c>
      <c r="X128" s="4">
        <f t="shared" si="7"/>
        <v>100</v>
      </c>
      <c r="Z128">
        <f t="shared" si="10"/>
        <v>593</v>
      </c>
      <c r="AA128">
        <f t="shared" si="14"/>
        <v>0</v>
      </c>
    </row>
    <row r="129" spans="1:27" x14ac:dyDescent="0.2">
      <c r="A129">
        <v>1</v>
      </c>
      <c r="B129" t="s">
        <v>121</v>
      </c>
      <c r="C129">
        <v>10</v>
      </c>
      <c r="D129" t="s">
        <v>148</v>
      </c>
      <c r="E129" t="s">
        <v>352</v>
      </c>
      <c r="F129">
        <v>1</v>
      </c>
      <c r="G129" t="s">
        <v>360</v>
      </c>
      <c r="H129" t="s">
        <v>361</v>
      </c>
      <c r="I129" t="s">
        <v>280</v>
      </c>
      <c r="M129">
        <v>1</v>
      </c>
      <c r="Q129">
        <v>1</v>
      </c>
      <c r="R129">
        <v>2</v>
      </c>
      <c r="T129">
        <v>1</v>
      </c>
      <c r="U129">
        <f t="shared" si="8"/>
        <v>4</v>
      </c>
      <c r="V129">
        <f t="shared" si="9"/>
        <v>5</v>
      </c>
      <c r="W129" s="4">
        <f t="shared" si="6"/>
        <v>1.25</v>
      </c>
      <c r="X129" s="4">
        <f t="shared" si="7"/>
        <v>62.5</v>
      </c>
      <c r="Y129" t="s">
        <v>362</v>
      </c>
      <c r="Z129">
        <f t="shared" si="10"/>
        <v>405</v>
      </c>
      <c r="AA129">
        <f t="shared" si="14"/>
        <v>0</v>
      </c>
    </row>
    <row r="130" spans="1:27" x14ac:dyDescent="0.2">
      <c r="A130">
        <v>2</v>
      </c>
      <c r="B130" t="s">
        <v>121</v>
      </c>
      <c r="C130">
        <v>10</v>
      </c>
      <c r="D130" t="s">
        <v>148</v>
      </c>
      <c r="E130" t="s">
        <v>352</v>
      </c>
      <c r="F130">
        <v>1</v>
      </c>
      <c r="G130" t="s">
        <v>360</v>
      </c>
      <c r="H130" t="s">
        <v>363</v>
      </c>
      <c r="I130" t="s">
        <v>280</v>
      </c>
      <c r="M130">
        <v>2</v>
      </c>
      <c r="Q130">
        <v>1</v>
      </c>
      <c r="R130">
        <v>2</v>
      </c>
      <c r="T130">
        <v>1</v>
      </c>
      <c r="U130">
        <f t="shared" si="8"/>
        <v>4</v>
      </c>
      <c r="V130">
        <f t="shared" si="9"/>
        <v>6</v>
      </c>
      <c r="W130" s="4">
        <f t="shared" ref="W130:W193" si="15">IF(U130=0,"",V130/U130)</f>
        <v>1.5</v>
      </c>
      <c r="X130" s="4">
        <f t="shared" ref="X130:X193" si="16">IF(W130="","",W130/2*100)</f>
        <v>75</v>
      </c>
      <c r="Y130" t="s">
        <v>364</v>
      </c>
      <c r="Z130">
        <f t="shared" si="10"/>
        <v>661</v>
      </c>
      <c r="AA130">
        <f>IF(X130&lt;50,1,0)</f>
        <v>0</v>
      </c>
    </row>
    <row r="131" spans="1:27" x14ac:dyDescent="0.2">
      <c r="A131">
        <v>3</v>
      </c>
      <c r="B131" t="s">
        <v>121</v>
      </c>
      <c r="C131">
        <v>10</v>
      </c>
      <c r="D131" t="s">
        <v>148</v>
      </c>
      <c r="E131" t="s">
        <v>352</v>
      </c>
      <c r="F131">
        <v>1</v>
      </c>
      <c r="G131" t="s">
        <v>360</v>
      </c>
      <c r="H131" t="s">
        <v>365</v>
      </c>
      <c r="I131" t="s">
        <v>280</v>
      </c>
      <c r="M131">
        <v>2</v>
      </c>
      <c r="Q131">
        <v>1</v>
      </c>
      <c r="R131">
        <v>2</v>
      </c>
      <c r="T131">
        <v>2</v>
      </c>
      <c r="U131">
        <f t="shared" ref="U131:U194" si="17">COUNT(J131:T131)</f>
        <v>4</v>
      </c>
      <c r="V131">
        <f t="shared" ref="V131:V194" si="18">SUM(J131:T131)</f>
        <v>7</v>
      </c>
      <c r="W131" s="4">
        <f t="shared" si="15"/>
        <v>1.75</v>
      </c>
      <c r="X131" s="4">
        <f t="shared" si="16"/>
        <v>87.5</v>
      </c>
      <c r="Y131" t="s">
        <v>364</v>
      </c>
      <c r="Z131">
        <f t="shared" ref="Z131:Z194" si="19">LEN(H131)</f>
        <v>673</v>
      </c>
      <c r="AA131">
        <f t="shared" ref="AA131:AA152" si="20">IF(X131&lt;50,1,0)</f>
        <v>0</v>
      </c>
    </row>
    <row r="132" spans="1:27" x14ac:dyDescent="0.2">
      <c r="A132">
        <v>1</v>
      </c>
      <c r="B132" t="s">
        <v>121</v>
      </c>
      <c r="C132">
        <v>10</v>
      </c>
      <c r="D132" t="s">
        <v>148</v>
      </c>
      <c r="E132" t="s">
        <v>352</v>
      </c>
      <c r="F132">
        <v>1</v>
      </c>
      <c r="G132" t="s">
        <v>366</v>
      </c>
      <c r="H132" t="s">
        <v>367</v>
      </c>
      <c r="I132" t="s">
        <v>280</v>
      </c>
      <c r="M132">
        <v>2</v>
      </c>
      <c r="O132">
        <v>2</v>
      </c>
      <c r="Q132">
        <v>2</v>
      </c>
      <c r="R132">
        <v>2</v>
      </c>
      <c r="T132">
        <v>2</v>
      </c>
      <c r="U132">
        <f t="shared" si="17"/>
        <v>5</v>
      </c>
      <c r="V132">
        <f t="shared" si="18"/>
        <v>10</v>
      </c>
      <c r="W132" s="4">
        <f t="shared" si="15"/>
        <v>2</v>
      </c>
      <c r="X132" s="4">
        <f t="shared" si="16"/>
        <v>100</v>
      </c>
      <c r="Z132">
        <f t="shared" si="19"/>
        <v>432</v>
      </c>
      <c r="AA132">
        <f t="shared" si="20"/>
        <v>0</v>
      </c>
    </row>
    <row r="133" spans="1:27" x14ac:dyDescent="0.2">
      <c r="A133">
        <v>2</v>
      </c>
      <c r="B133" t="s">
        <v>121</v>
      </c>
      <c r="C133">
        <v>10</v>
      </c>
      <c r="D133" t="s">
        <v>148</v>
      </c>
      <c r="E133" t="s">
        <v>352</v>
      </c>
      <c r="F133">
        <v>1</v>
      </c>
      <c r="G133" t="s">
        <v>366</v>
      </c>
      <c r="H133" t="s">
        <v>368</v>
      </c>
      <c r="I133" t="s">
        <v>280</v>
      </c>
      <c r="M133">
        <v>2</v>
      </c>
      <c r="O133">
        <v>2</v>
      </c>
      <c r="Q133">
        <v>1</v>
      </c>
      <c r="R133">
        <v>2</v>
      </c>
      <c r="T133">
        <v>1</v>
      </c>
      <c r="U133">
        <f t="shared" si="17"/>
        <v>5</v>
      </c>
      <c r="V133">
        <f t="shared" si="18"/>
        <v>8</v>
      </c>
      <c r="W133" s="4">
        <f t="shared" si="15"/>
        <v>1.6</v>
      </c>
      <c r="X133" s="4">
        <f t="shared" si="16"/>
        <v>80</v>
      </c>
      <c r="Y133" t="s">
        <v>364</v>
      </c>
      <c r="Z133">
        <f t="shared" si="19"/>
        <v>606</v>
      </c>
      <c r="AA133">
        <f t="shared" si="20"/>
        <v>0</v>
      </c>
    </row>
    <row r="134" spans="1:27" x14ac:dyDescent="0.2">
      <c r="A134">
        <v>3</v>
      </c>
      <c r="B134" t="s">
        <v>121</v>
      </c>
      <c r="C134">
        <v>10</v>
      </c>
      <c r="D134" t="s">
        <v>148</v>
      </c>
      <c r="E134" t="s">
        <v>352</v>
      </c>
      <c r="F134">
        <v>1</v>
      </c>
      <c r="G134" t="s">
        <v>366</v>
      </c>
      <c r="H134" t="s">
        <v>369</v>
      </c>
      <c r="I134" t="s">
        <v>280</v>
      </c>
      <c r="M134">
        <v>2</v>
      </c>
      <c r="O134">
        <v>2</v>
      </c>
      <c r="Q134">
        <v>2</v>
      </c>
      <c r="R134">
        <v>2</v>
      </c>
      <c r="T134">
        <v>2</v>
      </c>
      <c r="U134">
        <f t="shared" si="17"/>
        <v>5</v>
      </c>
      <c r="V134">
        <f t="shared" si="18"/>
        <v>10</v>
      </c>
      <c r="W134" s="4">
        <f t="shared" si="15"/>
        <v>2</v>
      </c>
      <c r="X134" s="4">
        <f t="shared" si="16"/>
        <v>100</v>
      </c>
      <c r="Y134" t="s">
        <v>364</v>
      </c>
      <c r="Z134">
        <f t="shared" si="19"/>
        <v>548</v>
      </c>
      <c r="AA134">
        <f t="shared" si="20"/>
        <v>0</v>
      </c>
    </row>
    <row r="135" spans="1:27" x14ac:dyDescent="0.2">
      <c r="A135">
        <v>1</v>
      </c>
      <c r="B135" t="s">
        <v>121</v>
      </c>
      <c r="C135">
        <v>10</v>
      </c>
      <c r="D135" t="s">
        <v>148</v>
      </c>
      <c r="E135" t="s">
        <v>352</v>
      </c>
      <c r="F135">
        <v>1</v>
      </c>
      <c r="G135" t="s">
        <v>370</v>
      </c>
      <c r="H135" t="s">
        <v>371</v>
      </c>
      <c r="I135" t="s">
        <v>280</v>
      </c>
      <c r="M135">
        <v>2</v>
      </c>
      <c r="O135">
        <v>2</v>
      </c>
      <c r="Q135">
        <v>1</v>
      </c>
      <c r="R135">
        <v>2</v>
      </c>
      <c r="T135">
        <v>1</v>
      </c>
      <c r="U135">
        <f t="shared" si="17"/>
        <v>5</v>
      </c>
      <c r="V135">
        <f t="shared" si="18"/>
        <v>8</v>
      </c>
      <c r="W135" s="4">
        <f t="shared" si="15"/>
        <v>1.6</v>
      </c>
      <c r="X135" s="4">
        <f t="shared" si="16"/>
        <v>80</v>
      </c>
      <c r="Z135">
        <f t="shared" si="19"/>
        <v>397</v>
      </c>
      <c r="AA135">
        <f t="shared" si="20"/>
        <v>0</v>
      </c>
    </row>
    <row r="136" spans="1:27" x14ac:dyDescent="0.2">
      <c r="A136">
        <v>2</v>
      </c>
      <c r="B136" t="s">
        <v>121</v>
      </c>
      <c r="C136">
        <v>10</v>
      </c>
      <c r="D136" t="s">
        <v>148</v>
      </c>
      <c r="E136" t="s">
        <v>352</v>
      </c>
      <c r="F136">
        <v>1</v>
      </c>
      <c r="G136" t="s">
        <v>370</v>
      </c>
      <c r="H136" t="s">
        <v>372</v>
      </c>
      <c r="I136" t="s">
        <v>280</v>
      </c>
      <c r="M136">
        <v>2</v>
      </c>
      <c r="O136">
        <v>2</v>
      </c>
      <c r="Q136">
        <v>2</v>
      </c>
      <c r="R136">
        <v>2</v>
      </c>
      <c r="T136">
        <v>2</v>
      </c>
      <c r="U136">
        <f t="shared" si="17"/>
        <v>5</v>
      </c>
      <c r="V136">
        <f t="shared" si="18"/>
        <v>10</v>
      </c>
      <c r="W136" s="4">
        <f t="shared" si="15"/>
        <v>2</v>
      </c>
      <c r="X136" s="4">
        <f t="shared" si="16"/>
        <v>100</v>
      </c>
      <c r="Y136" t="s">
        <v>373</v>
      </c>
      <c r="Z136">
        <f t="shared" si="19"/>
        <v>611</v>
      </c>
      <c r="AA136">
        <f t="shared" si="20"/>
        <v>0</v>
      </c>
    </row>
    <row r="137" spans="1:27" x14ac:dyDescent="0.2">
      <c r="A137">
        <v>3</v>
      </c>
      <c r="B137" t="s">
        <v>121</v>
      </c>
      <c r="C137">
        <v>10</v>
      </c>
      <c r="D137" t="s">
        <v>148</v>
      </c>
      <c r="E137" t="s">
        <v>352</v>
      </c>
      <c r="F137">
        <v>1</v>
      </c>
      <c r="G137" t="s">
        <v>370</v>
      </c>
      <c r="H137" t="s">
        <v>374</v>
      </c>
      <c r="I137" t="s">
        <v>280</v>
      </c>
      <c r="M137">
        <v>2</v>
      </c>
      <c r="O137">
        <v>2</v>
      </c>
      <c r="Q137">
        <v>2</v>
      </c>
      <c r="R137">
        <v>2</v>
      </c>
      <c r="T137">
        <v>2</v>
      </c>
      <c r="U137">
        <f t="shared" si="17"/>
        <v>5</v>
      </c>
      <c r="V137">
        <f t="shared" si="18"/>
        <v>10</v>
      </c>
      <c r="W137" s="4">
        <f t="shared" si="15"/>
        <v>2</v>
      </c>
      <c r="X137" s="4">
        <f t="shared" si="16"/>
        <v>100</v>
      </c>
      <c r="Y137" t="s">
        <v>375</v>
      </c>
      <c r="Z137">
        <f t="shared" si="19"/>
        <v>615</v>
      </c>
      <c r="AA137">
        <f t="shared" si="20"/>
        <v>0</v>
      </c>
    </row>
    <row r="138" spans="1:27" x14ac:dyDescent="0.2">
      <c r="A138">
        <v>1</v>
      </c>
      <c r="B138" t="s">
        <v>125</v>
      </c>
      <c r="C138">
        <v>4</v>
      </c>
      <c r="D138" t="s">
        <v>142</v>
      </c>
      <c r="E138" t="s">
        <v>376</v>
      </c>
      <c r="F138">
        <v>1</v>
      </c>
      <c r="G138" t="s">
        <v>318</v>
      </c>
      <c r="H138" t="s">
        <v>377</v>
      </c>
      <c r="I138" t="s">
        <v>378</v>
      </c>
      <c r="N138">
        <v>1</v>
      </c>
      <c r="O138">
        <v>2</v>
      </c>
      <c r="T138">
        <v>1</v>
      </c>
      <c r="U138">
        <f t="shared" si="17"/>
        <v>3</v>
      </c>
      <c r="V138">
        <f t="shared" si="18"/>
        <v>4</v>
      </c>
      <c r="W138" s="4">
        <f t="shared" si="15"/>
        <v>1.3333333333333333</v>
      </c>
      <c r="X138" s="4">
        <f t="shared" si="16"/>
        <v>66.666666666666657</v>
      </c>
      <c r="Z138">
        <f t="shared" si="19"/>
        <v>160</v>
      </c>
      <c r="AA138">
        <f t="shared" si="20"/>
        <v>0</v>
      </c>
    </row>
    <row r="139" spans="1:27" x14ac:dyDescent="0.2">
      <c r="A139">
        <v>2</v>
      </c>
      <c r="B139" t="s">
        <v>125</v>
      </c>
      <c r="C139">
        <v>4</v>
      </c>
      <c r="D139" t="s">
        <v>142</v>
      </c>
      <c r="E139" t="s">
        <v>376</v>
      </c>
      <c r="F139">
        <v>1</v>
      </c>
      <c r="G139" t="s">
        <v>318</v>
      </c>
      <c r="H139" t="s">
        <v>379</v>
      </c>
      <c r="I139" t="s">
        <v>378</v>
      </c>
      <c r="N139">
        <v>1</v>
      </c>
      <c r="O139">
        <v>2</v>
      </c>
      <c r="T139">
        <v>1</v>
      </c>
      <c r="U139">
        <f t="shared" si="17"/>
        <v>3</v>
      </c>
      <c r="V139">
        <f t="shared" si="18"/>
        <v>4</v>
      </c>
      <c r="W139" s="4">
        <f t="shared" si="15"/>
        <v>1.3333333333333333</v>
      </c>
      <c r="X139" s="4">
        <f t="shared" si="16"/>
        <v>66.666666666666657</v>
      </c>
      <c r="Z139">
        <f t="shared" si="19"/>
        <v>222</v>
      </c>
      <c r="AA139">
        <f t="shared" si="20"/>
        <v>0</v>
      </c>
    </row>
    <row r="140" spans="1:27" x14ac:dyDescent="0.2">
      <c r="A140">
        <v>3</v>
      </c>
      <c r="B140" t="s">
        <v>125</v>
      </c>
      <c r="C140">
        <v>4</v>
      </c>
      <c r="D140" t="s">
        <v>142</v>
      </c>
      <c r="E140" t="s">
        <v>376</v>
      </c>
      <c r="F140">
        <v>1</v>
      </c>
      <c r="G140" t="s">
        <v>318</v>
      </c>
      <c r="H140" t="s">
        <v>380</v>
      </c>
      <c r="I140" t="s">
        <v>378</v>
      </c>
      <c r="N140">
        <v>2</v>
      </c>
      <c r="O140">
        <v>2</v>
      </c>
      <c r="T140">
        <v>2</v>
      </c>
      <c r="U140">
        <f t="shared" si="17"/>
        <v>3</v>
      </c>
      <c r="V140">
        <f t="shared" si="18"/>
        <v>6</v>
      </c>
      <c r="W140" s="4">
        <f t="shared" si="15"/>
        <v>2</v>
      </c>
      <c r="X140" s="4">
        <f t="shared" si="16"/>
        <v>100</v>
      </c>
      <c r="Z140">
        <f t="shared" si="19"/>
        <v>183</v>
      </c>
      <c r="AA140">
        <f t="shared" si="20"/>
        <v>0</v>
      </c>
    </row>
    <row r="141" spans="1:27" x14ac:dyDescent="0.2">
      <c r="A141">
        <v>3</v>
      </c>
      <c r="B141" t="s">
        <v>125</v>
      </c>
      <c r="C141">
        <v>4</v>
      </c>
      <c r="D141" t="s">
        <v>142</v>
      </c>
      <c r="E141" t="s">
        <v>376</v>
      </c>
      <c r="F141">
        <v>2</v>
      </c>
      <c r="G141" t="s">
        <v>318</v>
      </c>
      <c r="H141" t="s">
        <v>381</v>
      </c>
      <c r="I141" t="s">
        <v>378</v>
      </c>
      <c r="N141">
        <v>2</v>
      </c>
      <c r="O141">
        <v>2</v>
      </c>
      <c r="T141">
        <v>1</v>
      </c>
      <c r="U141">
        <f t="shared" si="17"/>
        <v>3</v>
      </c>
      <c r="V141">
        <f t="shared" si="18"/>
        <v>5</v>
      </c>
      <c r="W141" s="4">
        <f t="shared" si="15"/>
        <v>1.6666666666666667</v>
      </c>
      <c r="X141" s="4">
        <f t="shared" si="16"/>
        <v>83.333333333333343</v>
      </c>
      <c r="Z141">
        <f t="shared" si="19"/>
        <v>265</v>
      </c>
      <c r="AA141">
        <f t="shared" si="20"/>
        <v>0</v>
      </c>
    </row>
    <row r="142" spans="1:27" x14ac:dyDescent="0.2">
      <c r="A142">
        <v>3</v>
      </c>
      <c r="B142" t="s">
        <v>125</v>
      </c>
      <c r="C142">
        <v>4</v>
      </c>
      <c r="D142" t="s">
        <v>141</v>
      </c>
      <c r="E142" t="s">
        <v>376</v>
      </c>
      <c r="F142">
        <v>3</v>
      </c>
      <c r="G142" t="s">
        <v>318</v>
      </c>
      <c r="H142" t="s">
        <v>382</v>
      </c>
      <c r="I142" t="s">
        <v>378</v>
      </c>
      <c r="N142">
        <v>2</v>
      </c>
      <c r="O142">
        <v>2</v>
      </c>
      <c r="T142">
        <v>2</v>
      </c>
      <c r="U142">
        <f t="shared" si="17"/>
        <v>3</v>
      </c>
      <c r="V142">
        <f t="shared" si="18"/>
        <v>6</v>
      </c>
      <c r="W142" s="4">
        <f t="shared" si="15"/>
        <v>2</v>
      </c>
      <c r="X142" s="4">
        <f t="shared" si="16"/>
        <v>100</v>
      </c>
      <c r="Z142">
        <f t="shared" si="19"/>
        <v>317</v>
      </c>
      <c r="AA142">
        <f t="shared" si="20"/>
        <v>0</v>
      </c>
    </row>
    <row r="143" spans="1:27" x14ac:dyDescent="0.2">
      <c r="A143">
        <v>3</v>
      </c>
      <c r="B143" t="s">
        <v>125</v>
      </c>
      <c r="C143">
        <v>4</v>
      </c>
      <c r="D143" t="s">
        <v>142</v>
      </c>
      <c r="E143" t="s">
        <v>376</v>
      </c>
      <c r="F143">
        <v>4</v>
      </c>
      <c r="G143" t="s">
        <v>318</v>
      </c>
      <c r="H143" t="s">
        <v>383</v>
      </c>
      <c r="I143" t="s">
        <v>378</v>
      </c>
      <c r="N143">
        <v>2</v>
      </c>
      <c r="O143">
        <v>2</v>
      </c>
      <c r="T143">
        <v>2</v>
      </c>
      <c r="U143">
        <f t="shared" si="17"/>
        <v>3</v>
      </c>
      <c r="V143">
        <f t="shared" si="18"/>
        <v>6</v>
      </c>
      <c r="W143" s="4">
        <f t="shared" si="15"/>
        <v>2</v>
      </c>
      <c r="X143" s="4">
        <f t="shared" si="16"/>
        <v>100</v>
      </c>
      <c r="Z143">
        <f t="shared" si="19"/>
        <v>296</v>
      </c>
      <c r="AA143">
        <f t="shared" si="20"/>
        <v>0</v>
      </c>
    </row>
    <row r="144" spans="1:27" x14ac:dyDescent="0.2">
      <c r="A144">
        <v>1</v>
      </c>
      <c r="B144" t="s">
        <v>125</v>
      </c>
      <c r="C144">
        <v>4</v>
      </c>
      <c r="D144" t="s">
        <v>142</v>
      </c>
      <c r="E144" t="s">
        <v>376</v>
      </c>
      <c r="F144">
        <v>1</v>
      </c>
      <c r="G144" t="s">
        <v>314</v>
      </c>
      <c r="H144" t="s">
        <v>384</v>
      </c>
      <c r="I144" t="s">
        <v>378</v>
      </c>
      <c r="N144">
        <v>1</v>
      </c>
      <c r="O144">
        <v>2</v>
      </c>
      <c r="T144">
        <v>1</v>
      </c>
      <c r="U144">
        <f t="shared" si="17"/>
        <v>3</v>
      </c>
      <c r="V144">
        <f t="shared" si="18"/>
        <v>4</v>
      </c>
      <c r="W144" s="4">
        <f t="shared" si="15"/>
        <v>1.3333333333333333</v>
      </c>
      <c r="X144" s="4">
        <f t="shared" si="16"/>
        <v>66.666666666666657</v>
      </c>
      <c r="Z144">
        <f t="shared" si="19"/>
        <v>182</v>
      </c>
      <c r="AA144">
        <f t="shared" si="20"/>
        <v>0</v>
      </c>
    </row>
    <row r="145" spans="1:27" x14ac:dyDescent="0.2">
      <c r="A145">
        <v>1</v>
      </c>
      <c r="B145" t="s">
        <v>125</v>
      </c>
      <c r="C145">
        <v>4</v>
      </c>
      <c r="D145" t="s">
        <v>142</v>
      </c>
      <c r="E145" t="s">
        <v>376</v>
      </c>
      <c r="F145">
        <v>2</v>
      </c>
      <c r="G145" t="s">
        <v>314</v>
      </c>
      <c r="H145" t="s">
        <v>385</v>
      </c>
      <c r="I145" t="s">
        <v>378</v>
      </c>
      <c r="N145">
        <v>1</v>
      </c>
      <c r="O145">
        <v>2</v>
      </c>
      <c r="T145">
        <v>1</v>
      </c>
      <c r="U145">
        <f t="shared" si="17"/>
        <v>3</v>
      </c>
      <c r="V145">
        <f t="shared" si="18"/>
        <v>4</v>
      </c>
      <c r="W145" s="4">
        <f t="shared" si="15"/>
        <v>1.3333333333333333</v>
      </c>
      <c r="X145" s="4">
        <f t="shared" si="16"/>
        <v>66.666666666666657</v>
      </c>
      <c r="Z145">
        <f t="shared" si="19"/>
        <v>133</v>
      </c>
      <c r="AA145">
        <f t="shared" si="20"/>
        <v>0</v>
      </c>
    </row>
    <row r="146" spans="1:27" x14ac:dyDescent="0.2">
      <c r="A146">
        <v>1</v>
      </c>
      <c r="B146" t="s">
        <v>125</v>
      </c>
      <c r="C146">
        <v>4</v>
      </c>
      <c r="D146" t="s">
        <v>142</v>
      </c>
      <c r="E146" t="s">
        <v>376</v>
      </c>
      <c r="F146">
        <v>3</v>
      </c>
      <c r="G146" t="s">
        <v>314</v>
      </c>
      <c r="H146" t="s">
        <v>386</v>
      </c>
      <c r="I146" t="s">
        <v>378</v>
      </c>
      <c r="N146">
        <v>2</v>
      </c>
      <c r="O146">
        <v>2</v>
      </c>
      <c r="T146">
        <v>2</v>
      </c>
      <c r="U146">
        <f t="shared" si="17"/>
        <v>3</v>
      </c>
      <c r="V146">
        <f t="shared" si="18"/>
        <v>6</v>
      </c>
      <c r="W146" s="4">
        <f t="shared" si="15"/>
        <v>2</v>
      </c>
      <c r="X146" s="4">
        <f t="shared" si="16"/>
        <v>100</v>
      </c>
      <c r="Z146">
        <f t="shared" si="19"/>
        <v>221</v>
      </c>
      <c r="AA146">
        <f t="shared" si="20"/>
        <v>0</v>
      </c>
    </row>
    <row r="147" spans="1:27" x14ac:dyDescent="0.2">
      <c r="A147">
        <v>2</v>
      </c>
      <c r="B147" t="s">
        <v>125</v>
      </c>
      <c r="C147">
        <v>4</v>
      </c>
      <c r="D147" t="s">
        <v>142</v>
      </c>
      <c r="E147" t="s">
        <v>376</v>
      </c>
      <c r="F147">
        <v>1</v>
      </c>
      <c r="G147" t="s">
        <v>314</v>
      </c>
      <c r="H147" t="s">
        <v>387</v>
      </c>
      <c r="I147" t="s">
        <v>378</v>
      </c>
      <c r="N147">
        <v>2</v>
      </c>
      <c r="O147">
        <v>2</v>
      </c>
      <c r="T147">
        <v>1</v>
      </c>
      <c r="U147">
        <f t="shared" si="17"/>
        <v>3</v>
      </c>
      <c r="V147">
        <f t="shared" si="18"/>
        <v>5</v>
      </c>
      <c r="W147" s="4">
        <f t="shared" si="15"/>
        <v>1.6666666666666667</v>
      </c>
      <c r="X147" s="4">
        <f t="shared" si="16"/>
        <v>83.333333333333343</v>
      </c>
      <c r="Z147">
        <f t="shared" si="19"/>
        <v>304</v>
      </c>
      <c r="AA147">
        <f t="shared" si="20"/>
        <v>0</v>
      </c>
    </row>
    <row r="148" spans="1:27" x14ac:dyDescent="0.2">
      <c r="A148">
        <v>2</v>
      </c>
      <c r="B148" t="s">
        <v>125</v>
      </c>
      <c r="C148">
        <v>4</v>
      </c>
      <c r="D148" t="s">
        <v>142</v>
      </c>
      <c r="E148" t="s">
        <v>376</v>
      </c>
      <c r="F148">
        <v>2</v>
      </c>
      <c r="G148" t="s">
        <v>314</v>
      </c>
      <c r="H148" t="s">
        <v>388</v>
      </c>
      <c r="I148" t="s">
        <v>378</v>
      </c>
      <c r="N148">
        <v>2</v>
      </c>
      <c r="O148">
        <v>2</v>
      </c>
      <c r="T148">
        <v>1</v>
      </c>
      <c r="U148">
        <f t="shared" si="17"/>
        <v>3</v>
      </c>
      <c r="V148">
        <f t="shared" si="18"/>
        <v>5</v>
      </c>
      <c r="W148" s="4">
        <f t="shared" si="15"/>
        <v>1.6666666666666667</v>
      </c>
      <c r="X148" s="4">
        <f t="shared" si="16"/>
        <v>83.333333333333343</v>
      </c>
      <c r="Z148">
        <f t="shared" si="19"/>
        <v>200</v>
      </c>
      <c r="AA148">
        <f t="shared" si="20"/>
        <v>0</v>
      </c>
    </row>
    <row r="149" spans="1:27" x14ac:dyDescent="0.2">
      <c r="A149">
        <v>3</v>
      </c>
      <c r="B149" t="s">
        <v>125</v>
      </c>
      <c r="C149">
        <v>4</v>
      </c>
      <c r="D149" t="s">
        <v>142</v>
      </c>
      <c r="E149" t="s">
        <v>376</v>
      </c>
      <c r="F149">
        <v>1</v>
      </c>
      <c r="G149" t="s">
        <v>314</v>
      </c>
      <c r="H149" t="s">
        <v>389</v>
      </c>
      <c r="I149" t="s">
        <v>378</v>
      </c>
      <c r="N149">
        <v>2</v>
      </c>
      <c r="O149">
        <v>2</v>
      </c>
      <c r="T149">
        <v>2</v>
      </c>
      <c r="U149">
        <f t="shared" si="17"/>
        <v>3</v>
      </c>
      <c r="V149">
        <f t="shared" si="18"/>
        <v>6</v>
      </c>
      <c r="W149" s="4">
        <f t="shared" si="15"/>
        <v>2</v>
      </c>
      <c r="X149" s="4">
        <f t="shared" si="16"/>
        <v>100</v>
      </c>
      <c r="Z149">
        <f t="shared" si="19"/>
        <v>318</v>
      </c>
      <c r="AA149">
        <f t="shared" si="20"/>
        <v>0</v>
      </c>
    </row>
    <row r="150" spans="1:27" x14ac:dyDescent="0.2">
      <c r="A150">
        <v>3</v>
      </c>
      <c r="B150" t="s">
        <v>125</v>
      </c>
      <c r="C150">
        <v>4</v>
      </c>
      <c r="D150" t="s">
        <v>142</v>
      </c>
      <c r="E150" t="s">
        <v>376</v>
      </c>
      <c r="F150">
        <v>2</v>
      </c>
      <c r="G150" t="s">
        <v>314</v>
      </c>
      <c r="H150" t="s">
        <v>390</v>
      </c>
      <c r="I150" t="s">
        <v>378</v>
      </c>
      <c r="N150">
        <v>2</v>
      </c>
      <c r="O150">
        <v>2</v>
      </c>
      <c r="T150">
        <v>2</v>
      </c>
      <c r="U150">
        <f t="shared" si="17"/>
        <v>3</v>
      </c>
      <c r="V150">
        <f t="shared" si="18"/>
        <v>6</v>
      </c>
      <c r="W150" s="4">
        <f t="shared" si="15"/>
        <v>2</v>
      </c>
      <c r="X150" s="4">
        <f t="shared" si="16"/>
        <v>100</v>
      </c>
      <c r="Z150">
        <f t="shared" si="19"/>
        <v>323</v>
      </c>
      <c r="AA150">
        <f t="shared" si="20"/>
        <v>0</v>
      </c>
    </row>
    <row r="151" spans="1:27" x14ac:dyDescent="0.2">
      <c r="A151">
        <v>3</v>
      </c>
      <c r="B151" t="s">
        <v>125</v>
      </c>
      <c r="C151">
        <v>4</v>
      </c>
      <c r="D151" t="s">
        <v>142</v>
      </c>
      <c r="E151" t="s">
        <v>376</v>
      </c>
      <c r="F151">
        <v>3</v>
      </c>
      <c r="G151" t="s">
        <v>314</v>
      </c>
      <c r="H151" t="s">
        <v>391</v>
      </c>
      <c r="I151" t="s">
        <v>378</v>
      </c>
      <c r="N151">
        <v>2</v>
      </c>
      <c r="O151">
        <v>2</v>
      </c>
      <c r="T151">
        <v>2</v>
      </c>
      <c r="U151">
        <f t="shared" si="17"/>
        <v>3</v>
      </c>
      <c r="V151">
        <f t="shared" si="18"/>
        <v>6</v>
      </c>
      <c r="W151" s="4">
        <f t="shared" si="15"/>
        <v>2</v>
      </c>
      <c r="X151" s="4">
        <f t="shared" si="16"/>
        <v>100</v>
      </c>
      <c r="Z151">
        <f t="shared" si="19"/>
        <v>333</v>
      </c>
      <c r="AA151">
        <f t="shared" si="20"/>
        <v>0</v>
      </c>
    </row>
    <row r="152" spans="1:27" x14ac:dyDescent="0.2">
      <c r="A152">
        <v>1</v>
      </c>
      <c r="B152" t="s">
        <v>125</v>
      </c>
      <c r="C152">
        <v>4</v>
      </c>
      <c r="D152" t="s">
        <v>142</v>
      </c>
      <c r="E152" t="s">
        <v>376</v>
      </c>
      <c r="F152">
        <v>1</v>
      </c>
      <c r="G152" t="s">
        <v>392</v>
      </c>
      <c r="H152" t="s">
        <v>393</v>
      </c>
      <c r="I152" t="s">
        <v>378</v>
      </c>
      <c r="N152">
        <v>1</v>
      </c>
      <c r="O152">
        <v>2</v>
      </c>
      <c r="T152">
        <v>1</v>
      </c>
      <c r="U152">
        <f t="shared" si="17"/>
        <v>3</v>
      </c>
      <c r="V152">
        <f t="shared" si="18"/>
        <v>4</v>
      </c>
      <c r="W152" s="4">
        <f t="shared" si="15"/>
        <v>1.3333333333333333</v>
      </c>
      <c r="X152" s="4">
        <f t="shared" si="16"/>
        <v>66.666666666666657</v>
      </c>
      <c r="Z152">
        <f t="shared" si="19"/>
        <v>204</v>
      </c>
      <c r="AA152">
        <f t="shared" si="20"/>
        <v>0</v>
      </c>
    </row>
    <row r="153" spans="1:27" x14ac:dyDescent="0.2">
      <c r="A153">
        <v>1</v>
      </c>
      <c r="B153" t="s">
        <v>125</v>
      </c>
      <c r="C153">
        <v>4</v>
      </c>
      <c r="D153" t="s">
        <v>142</v>
      </c>
      <c r="E153" t="s">
        <v>376</v>
      </c>
      <c r="F153">
        <v>2</v>
      </c>
      <c r="G153" t="s">
        <v>392</v>
      </c>
      <c r="H153" t="s">
        <v>394</v>
      </c>
      <c r="I153" t="s">
        <v>378</v>
      </c>
      <c r="N153">
        <v>1</v>
      </c>
      <c r="O153">
        <v>1</v>
      </c>
      <c r="T153">
        <v>1</v>
      </c>
      <c r="U153">
        <f t="shared" si="17"/>
        <v>3</v>
      </c>
      <c r="V153">
        <f t="shared" si="18"/>
        <v>3</v>
      </c>
      <c r="W153" s="4">
        <f t="shared" si="15"/>
        <v>1</v>
      </c>
      <c r="X153" s="4">
        <f t="shared" si="16"/>
        <v>50</v>
      </c>
      <c r="Z153">
        <f t="shared" si="19"/>
        <v>154</v>
      </c>
      <c r="AA153">
        <f>IF(X153&lt;50,1,0)</f>
        <v>0</v>
      </c>
    </row>
    <row r="154" spans="1:27" x14ac:dyDescent="0.2">
      <c r="A154">
        <v>1</v>
      </c>
      <c r="B154" t="s">
        <v>125</v>
      </c>
      <c r="C154">
        <v>4</v>
      </c>
      <c r="D154" t="s">
        <v>142</v>
      </c>
      <c r="E154" t="s">
        <v>376</v>
      </c>
      <c r="F154">
        <v>3</v>
      </c>
      <c r="G154" t="s">
        <v>392</v>
      </c>
      <c r="H154" t="s">
        <v>395</v>
      </c>
      <c r="I154" t="s">
        <v>378</v>
      </c>
      <c r="N154">
        <v>1</v>
      </c>
      <c r="O154">
        <v>2</v>
      </c>
      <c r="T154">
        <v>1</v>
      </c>
      <c r="U154">
        <f t="shared" si="17"/>
        <v>3</v>
      </c>
      <c r="V154">
        <f t="shared" si="18"/>
        <v>4</v>
      </c>
      <c r="W154" s="4">
        <f t="shared" si="15"/>
        <v>1.3333333333333333</v>
      </c>
      <c r="X154" s="4">
        <f t="shared" si="16"/>
        <v>66.666666666666657</v>
      </c>
      <c r="Z154">
        <f t="shared" si="19"/>
        <v>177</v>
      </c>
      <c r="AA154">
        <f t="shared" ref="AA154:AA174" si="21">IF(X154&lt;50,1,0)</f>
        <v>0</v>
      </c>
    </row>
    <row r="155" spans="1:27" x14ac:dyDescent="0.2">
      <c r="A155">
        <v>2</v>
      </c>
      <c r="B155" t="s">
        <v>125</v>
      </c>
      <c r="C155">
        <v>4</v>
      </c>
      <c r="D155" t="s">
        <v>142</v>
      </c>
      <c r="E155" t="s">
        <v>376</v>
      </c>
      <c r="F155">
        <v>1</v>
      </c>
      <c r="G155" t="s">
        <v>392</v>
      </c>
      <c r="H155" t="s">
        <v>396</v>
      </c>
      <c r="I155" t="s">
        <v>378</v>
      </c>
      <c r="N155">
        <v>2</v>
      </c>
      <c r="O155">
        <v>2</v>
      </c>
      <c r="T155">
        <v>1</v>
      </c>
      <c r="U155">
        <f t="shared" si="17"/>
        <v>3</v>
      </c>
      <c r="V155">
        <f t="shared" si="18"/>
        <v>5</v>
      </c>
      <c r="W155" s="4">
        <f t="shared" si="15"/>
        <v>1.6666666666666667</v>
      </c>
      <c r="X155" s="4">
        <f t="shared" si="16"/>
        <v>83.333333333333343</v>
      </c>
      <c r="Z155">
        <f t="shared" si="19"/>
        <v>209</v>
      </c>
      <c r="AA155">
        <f t="shared" si="21"/>
        <v>0</v>
      </c>
    </row>
    <row r="156" spans="1:27" x14ac:dyDescent="0.2">
      <c r="A156">
        <v>2</v>
      </c>
      <c r="B156" t="s">
        <v>125</v>
      </c>
      <c r="C156">
        <v>4</v>
      </c>
      <c r="D156" t="s">
        <v>142</v>
      </c>
      <c r="E156" t="s">
        <v>376</v>
      </c>
      <c r="F156">
        <v>2</v>
      </c>
      <c r="G156" t="s">
        <v>392</v>
      </c>
      <c r="H156" t="s">
        <v>397</v>
      </c>
      <c r="I156" t="s">
        <v>378</v>
      </c>
      <c r="N156">
        <v>2</v>
      </c>
      <c r="O156">
        <v>2</v>
      </c>
      <c r="T156">
        <v>1</v>
      </c>
      <c r="U156">
        <f t="shared" si="17"/>
        <v>3</v>
      </c>
      <c r="V156">
        <f t="shared" si="18"/>
        <v>5</v>
      </c>
      <c r="W156" s="4">
        <f t="shared" si="15"/>
        <v>1.6666666666666667</v>
      </c>
      <c r="X156" s="4">
        <f t="shared" si="16"/>
        <v>83.333333333333343</v>
      </c>
      <c r="Z156">
        <f t="shared" si="19"/>
        <v>277</v>
      </c>
      <c r="AA156">
        <f t="shared" si="21"/>
        <v>0</v>
      </c>
    </row>
    <row r="157" spans="1:27" x14ac:dyDescent="0.2">
      <c r="A157">
        <v>2</v>
      </c>
      <c r="B157" t="s">
        <v>125</v>
      </c>
      <c r="C157">
        <v>4</v>
      </c>
      <c r="D157" t="s">
        <v>142</v>
      </c>
      <c r="E157" t="s">
        <v>376</v>
      </c>
      <c r="F157">
        <v>3</v>
      </c>
      <c r="G157" t="s">
        <v>392</v>
      </c>
      <c r="H157" t="s">
        <v>398</v>
      </c>
      <c r="I157" t="s">
        <v>378</v>
      </c>
      <c r="N157">
        <v>1</v>
      </c>
      <c r="O157">
        <v>2</v>
      </c>
      <c r="T157">
        <v>1</v>
      </c>
      <c r="U157">
        <f t="shared" si="17"/>
        <v>3</v>
      </c>
      <c r="V157">
        <f t="shared" si="18"/>
        <v>4</v>
      </c>
      <c r="W157" s="4">
        <f t="shared" si="15"/>
        <v>1.3333333333333333</v>
      </c>
      <c r="X157" s="4">
        <f t="shared" si="16"/>
        <v>66.666666666666657</v>
      </c>
      <c r="Z157">
        <f t="shared" si="19"/>
        <v>299</v>
      </c>
      <c r="AA157">
        <f t="shared" si="21"/>
        <v>0</v>
      </c>
    </row>
    <row r="158" spans="1:27" x14ac:dyDescent="0.2">
      <c r="A158">
        <v>3</v>
      </c>
      <c r="B158" t="s">
        <v>125</v>
      </c>
      <c r="C158">
        <v>4</v>
      </c>
      <c r="D158" t="s">
        <v>142</v>
      </c>
      <c r="E158" t="s">
        <v>376</v>
      </c>
      <c r="F158">
        <v>1</v>
      </c>
      <c r="G158" t="s">
        <v>392</v>
      </c>
      <c r="H158" t="s">
        <v>399</v>
      </c>
      <c r="I158" t="s">
        <v>378</v>
      </c>
      <c r="N158">
        <v>2</v>
      </c>
      <c r="O158">
        <v>2</v>
      </c>
      <c r="T158">
        <v>2</v>
      </c>
      <c r="U158">
        <f t="shared" si="17"/>
        <v>3</v>
      </c>
      <c r="V158">
        <f t="shared" si="18"/>
        <v>6</v>
      </c>
      <c r="W158" s="4">
        <f t="shared" si="15"/>
        <v>2</v>
      </c>
      <c r="X158" s="4">
        <f t="shared" si="16"/>
        <v>100</v>
      </c>
      <c r="Z158">
        <f t="shared" si="19"/>
        <v>367</v>
      </c>
      <c r="AA158">
        <f t="shared" si="21"/>
        <v>0</v>
      </c>
    </row>
    <row r="159" spans="1:27" x14ac:dyDescent="0.2">
      <c r="A159">
        <v>3</v>
      </c>
      <c r="B159" t="s">
        <v>125</v>
      </c>
      <c r="C159">
        <v>4</v>
      </c>
      <c r="D159" t="s">
        <v>142</v>
      </c>
      <c r="E159" t="s">
        <v>376</v>
      </c>
      <c r="F159">
        <v>2</v>
      </c>
      <c r="G159" t="s">
        <v>392</v>
      </c>
      <c r="H159" t="s">
        <v>400</v>
      </c>
      <c r="I159" t="s">
        <v>378</v>
      </c>
      <c r="N159">
        <v>2</v>
      </c>
      <c r="O159">
        <v>2</v>
      </c>
      <c r="T159">
        <v>2</v>
      </c>
      <c r="U159">
        <f t="shared" si="17"/>
        <v>3</v>
      </c>
      <c r="V159">
        <f t="shared" si="18"/>
        <v>6</v>
      </c>
      <c r="W159" s="4">
        <f t="shared" si="15"/>
        <v>2</v>
      </c>
      <c r="X159" s="4">
        <f t="shared" si="16"/>
        <v>100</v>
      </c>
      <c r="Z159">
        <f t="shared" si="19"/>
        <v>273</v>
      </c>
      <c r="AA159">
        <f t="shared" si="21"/>
        <v>0</v>
      </c>
    </row>
    <row r="160" spans="1:27" x14ac:dyDescent="0.2">
      <c r="A160">
        <v>3</v>
      </c>
      <c r="B160" t="s">
        <v>125</v>
      </c>
      <c r="C160">
        <v>4</v>
      </c>
      <c r="D160" t="s">
        <v>142</v>
      </c>
      <c r="E160" t="s">
        <v>376</v>
      </c>
      <c r="F160">
        <v>3</v>
      </c>
      <c r="G160" t="s">
        <v>392</v>
      </c>
      <c r="H160" t="s">
        <v>401</v>
      </c>
      <c r="I160" t="s">
        <v>378</v>
      </c>
      <c r="N160">
        <v>2</v>
      </c>
      <c r="O160">
        <v>2</v>
      </c>
      <c r="T160">
        <v>2</v>
      </c>
      <c r="U160">
        <f t="shared" si="17"/>
        <v>3</v>
      </c>
      <c r="V160">
        <f t="shared" si="18"/>
        <v>6</v>
      </c>
      <c r="W160" s="4">
        <f t="shared" si="15"/>
        <v>2</v>
      </c>
      <c r="X160" s="4">
        <f t="shared" si="16"/>
        <v>100</v>
      </c>
      <c r="Z160">
        <f t="shared" si="19"/>
        <v>304</v>
      </c>
      <c r="AA160">
        <f t="shared" si="21"/>
        <v>0</v>
      </c>
    </row>
    <row r="161" spans="1:27" x14ac:dyDescent="0.2">
      <c r="A161">
        <v>3</v>
      </c>
      <c r="B161" t="s">
        <v>125</v>
      </c>
      <c r="C161">
        <v>4</v>
      </c>
      <c r="D161" t="s">
        <v>142</v>
      </c>
      <c r="E161" t="s">
        <v>376</v>
      </c>
      <c r="F161">
        <v>4</v>
      </c>
      <c r="G161" t="s">
        <v>392</v>
      </c>
      <c r="H161" t="s">
        <v>402</v>
      </c>
      <c r="I161" t="s">
        <v>378</v>
      </c>
      <c r="N161">
        <v>2</v>
      </c>
      <c r="O161">
        <v>1</v>
      </c>
      <c r="T161">
        <v>2</v>
      </c>
      <c r="U161">
        <f t="shared" si="17"/>
        <v>3</v>
      </c>
      <c r="V161">
        <f t="shared" si="18"/>
        <v>5</v>
      </c>
      <c r="W161" s="4">
        <f t="shared" si="15"/>
        <v>1.6666666666666667</v>
      </c>
      <c r="X161" s="4">
        <f t="shared" si="16"/>
        <v>83.333333333333343</v>
      </c>
      <c r="Z161">
        <f t="shared" si="19"/>
        <v>324</v>
      </c>
      <c r="AA161">
        <f t="shared" si="21"/>
        <v>0</v>
      </c>
    </row>
    <row r="162" spans="1:27" x14ac:dyDescent="0.2">
      <c r="A162">
        <v>1</v>
      </c>
      <c r="B162" t="s">
        <v>125</v>
      </c>
      <c r="C162">
        <v>7</v>
      </c>
      <c r="D162" t="s">
        <v>145</v>
      </c>
      <c r="E162" t="s">
        <v>403</v>
      </c>
      <c r="F162">
        <v>1</v>
      </c>
      <c r="G162" t="s">
        <v>404</v>
      </c>
      <c r="H162" t="s">
        <v>405</v>
      </c>
      <c r="I162" t="s">
        <v>378</v>
      </c>
      <c r="N162">
        <v>2</v>
      </c>
      <c r="O162">
        <v>2</v>
      </c>
      <c r="T162">
        <v>2</v>
      </c>
      <c r="U162">
        <f t="shared" si="17"/>
        <v>3</v>
      </c>
      <c r="V162">
        <f t="shared" si="18"/>
        <v>6</v>
      </c>
      <c r="W162" s="4">
        <f t="shared" si="15"/>
        <v>2</v>
      </c>
      <c r="X162" s="4">
        <f t="shared" si="16"/>
        <v>100</v>
      </c>
      <c r="Z162">
        <f t="shared" si="19"/>
        <v>256</v>
      </c>
      <c r="AA162">
        <f t="shared" si="21"/>
        <v>0</v>
      </c>
    </row>
    <row r="163" spans="1:27" x14ac:dyDescent="0.2">
      <c r="A163">
        <v>2</v>
      </c>
      <c r="B163" t="s">
        <v>125</v>
      </c>
      <c r="C163">
        <v>7</v>
      </c>
      <c r="D163" t="s">
        <v>145</v>
      </c>
      <c r="E163" t="s">
        <v>403</v>
      </c>
      <c r="F163">
        <v>1</v>
      </c>
      <c r="G163" t="s">
        <v>404</v>
      </c>
      <c r="H163" t="s">
        <v>406</v>
      </c>
      <c r="I163" t="s">
        <v>378</v>
      </c>
      <c r="N163">
        <v>2</v>
      </c>
      <c r="O163">
        <v>1</v>
      </c>
      <c r="T163">
        <v>2</v>
      </c>
      <c r="U163">
        <f t="shared" si="17"/>
        <v>3</v>
      </c>
      <c r="V163">
        <f t="shared" si="18"/>
        <v>5</v>
      </c>
      <c r="W163" s="4">
        <f t="shared" si="15"/>
        <v>1.6666666666666667</v>
      </c>
      <c r="X163" s="4">
        <f t="shared" si="16"/>
        <v>83.333333333333343</v>
      </c>
      <c r="Z163">
        <f t="shared" si="19"/>
        <v>212</v>
      </c>
      <c r="AA163">
        <f t="shared" si="21"/>
        <v>0</v>
      </c>
    </row>
    <row r="164" spans="1:27" x14ac:dyDescent="0.2">
      <c r="A164">
        <v>3</v>
      </c>
      <c r="B164" t="s">
        <v>125</v>
      </c>
      <c r="C164">
        <v>7</v>
      </c>
      <c r="D164" t="s">
        <v>145</v>
      </c>
      <c r="E164" t="s">
        <v>403</v>
      </c>
      <c r="F164">
        <v>1</v>
      </c>
      <c r="G164" t="s">
        <v>404</v>
      </c>
      <c r="H164" t="s">
        <v>407</v>
      </c>
      <c r="I164" t="s">
        <v>378</v>
      </c>
      <c r="N164">
        <v>2</v>
      </c>
      <c r="O164">
        <v>2</v>
      </c>
      <c r="T164">
        <v>2</v>
      </c>
      <c r="U164">
        <f t="shared" si="17"/>
        <v>3</v>
      </c>
      <c r="V164">
        <f t="shared" si="18"/>
        <v>6</v>
      </c>
      <c r="W164" s="4">
        <f t="shared" si="15"/>
        <v>2</v>
      </c>
      <c r="X164" s="4">
        <f t="shared" si="16"/>
        <v>100</v>
      </c>
      <c r="Z164">
        <f t="shared" si="19"/>
        <v>257</v>
      </c>
      <c r="AA164">
        <f t="shared" si="21"/>
        <v>0</v>
      </c>
    </row>
    <row r="165" spans="1:27" x14ac:dyDescent="0.2">
      <c r="A165">
        <v>1</v>
      </c>
      <c r="B165" t="s">
        <v>125</v>
      </c>
      <c r="C165">
        <v>7</v>
      </c>
      <c r="D165" t="s">
        <v>145</v>
      </c>
      <c r="E165" t="s">
        <v>403</v>
      </c>
      <c r="F165">
        <v>1</v>
      </c>
      <c r="G165" t="s">
        <v>408</v>
      </c>
      <c r="H165" t="s">
        <v>409</v>
      </c>
      <c r="I165" t="s">
        <v>378</v>
      </c>
      <c r="N165">
        <v>1</v>
      </c>
      <c r="O165">
        <v>1</v>
      </c>
      <c r="T165">
        <v>1</v>
      </c>
      <c r="U165">
        <f t="shared" si="17"/>
        <v>3</v>
      </c>
      <c r="V165">
        <f t="shared" si="18"/>
        <v>3</v>
      </c>
      <c r="W165" s="4">
        <f t="shared" si="15"/>
        <v>1</v>
      </c>
      <c r="X165" s="4">
        <f t="shared" si="16"/>
        <v>50</v>
      </c>
      <c r="Y165" t="s">
        <v>410</v>
      </c>
      <c r="Z165">
        <f t="shared" si="19"/>
        <v>321</v>
      </c>
      <c r="AA165">
        <f t="shared" si="21"/>
        <v>0</v>
      </c>
    </row>
    <row r="166" spans="1:27" x14ac:dyDescent="0.2">
      <c r="A166">
        <v>2</v>
      </c>
      <c r="B166" t="s">
        <v>125</v>
      </c>
      <c r="C166">
        <v>7</v>
      </c>
      <c r="D166" t="s">
        <v>145</v>
      </c>
      <c r="E166" t="s">
        <v>403</v>
      </c>
      <c r="F166">
        <v>1</v>
      </c>
      <c r="G166" t="s">
        <v>408</v>
      </c>
      <c r="H166" t="s">
        <v>411</v>
      </c>
      <c r="I166" t="s">
        <v>378</v>
      </c>
      <c r="N166">
        <v>0</v>
      </c>
      <c r="O166">
        <v>1</v>
      </c>
      <c r="T166">
        <v>1</v>
      </c>
      <c r="U166">
        <f t="shared" si="17"/>
        <v>3</v>
      </c>
      <c r="V166">
        <f t="shared" si="18"/>
        <v>2</v>
      </c>
      <c r="W166" s="4">
        <f t="shared" si="15"/>
        <v>0.66666666666666663</v>
      </c>
      <c r="X166" s="4">
        <f t="shared" si="16"/>
        <v>33.333333333333329</v>
      </c>
      <c r="Y166" t="s">
        <v>412</v>
      </c>
      <c r="Z166">
        <f t="shared" si="19"/>
        <v>366</v>
      </c>
      <c r="AA166">
        <f t="shared" si="21"/>
        <v>1</v>
      </c>
    </row>
    <row r="167" spans="1:27" x14ac:dyDescent="0.2">
      <c r="A167">
        <v>3</v>
      </c>
      <c r="B167" t="s">
        <v>125</v>
      </c>
      <c r="C167">
        <v>7</v>
      </c>
      <c r="D167" t="s">
        <v>145</v>
      </c>
      <c r="E167" t="s">
        <v>403</v>
      </c>
      <c r="F167">
        <v>1</v>
      </c>
      <c r="G167" t="s">
        <v>408</v>
      </c>
      <c r="H167" t="s">
        <v>413</v>
      </c>
      <c r="I167" t="s">
        <v>378</v>
      </c>
      <c r="N167">
        <v>2</v>
      </c>
      <c r="O167">
        <v>1</v>
      </c>
      <c r="T167">
        <v>2</v>
      </c>
      <c r="U167">
        <f t="shared" si="17"/>
        <v>3</v>
      </c>
      <c r="V167">
        <f t="shared" si="18"/>
        <v>5</v>
      </c>
      <c r="W167" s="4">
        <f t="shared" si="15"/>
        <v>1.6666666666666667</v>
      </c>
      <c r="X167" s="4">
        <f t="shared" si="16"/>
        <v>83.333333333333343</v>
      </c>
      <c r="Y167" t="s">
        <v>414</v>
      </c>
      <c r="Z167">
        <f t="shared" si="19"/>
        <v>332</v>
      </c>
      <c r="AA167">
        <f t="shared" si="21"/>
        <v>0</v>
      </c>
    </row>
    <row r="168" spans="1:27" x14ac:dyDescent="0.2">
      <c r="A168">
        <v>1</v>
      </c>
      <c r="B168" t="s">
        <v>125</v>
      </c>
      <c r="C168">
        <v>7</v>
      </c>
      <c r="D168" t="s">
        <v>145</v>
      </c>
      <c r="E168" t="s">
        <v>403</v>
      </c>
      <c r="F168">
        <v>1</v>
      </c>
      <c r="G168" t="s">
        <v>415</v>
      </c>
      <c r="H168" t="s">
        <v>416</v>
      </c>
      <c r="I168" t="s">
        <v>378</v>
      </c>
      <c r="N168">
        <v>2</v>
      </c>
      <c r="O168">
        <v>2</v>
      </c>
      <c r="T168">
        <v>2</v>
      </c>
      <c r="U168">
        <f t="shared" si="17"/>
        <v>3</v>
      </c>
      <c r="V168">
        <f t="shared" si="18"/>
        <v>6</v>
      </c>
      <c r="W168" s="4">
        <f t="shared" si="15"/>
        <v>2</v>
      </c>
      <c r="X168" s="4">
        <f t="shared" si="16"/>
        <v>100</v>
      </c>
      <c r="Z168">
        <f t="shared" si="19"/>
        <v>327</v>
      </c>
      <c r="AA168">
        <f t="shared" si="21"/>
        <v>0</v>
      </c>
    </row>
    <row r="169" spans="1:27" x14ac:dyDescent="0.2">
      <c r="A169">
        <v>2</v>
      </c>
      <c r="B169" t="s">
        <v>125</v>
      </c>
      <c r="C169">
        <v>7</v>
      </c>
      <c r="D169" t="s">
        <v>145</v>
      </c>
      <c r="E169" t="s">
        <v>403</v>
      </c>
      <c r="F169">
        <v>1</v>
      </c>
      <c r="G169" t="s">
        <v>415</v>
      </c>
      <c r="H169" t="s">
        <v>417</v>
      </c>
      <c r="I169" t="s">
        <v>378</v>
      </c>
      <c r="N169">
        <v>2</v>
      </c>
      <c r="O169">
        <v>2</v>
      </c>
      <c r="T169">
        <v>2</v>
      </c>
      <c r="U169">
        <f t="shared" si="17"/>
        <v>3</v>
      </c>
      <c r="V169">
        <f t="shared" si="18"/>
        <v>6</v>
      </c>
      <c r="W169" s="4">
        <f t="shared" si="15"/>
        <v>2</v>
      </c>
      <c r="X169" s="4">
        <f t="shared" si="16"/>
        <v>100</v>
      </c>
      <c r="Z169">
        <f t="shared" si="19"/>
        <v>266</v>
      </c>
      <c r="AA169">
        <f t="shared" si="21"/>
        <v>0</v>
      </c>
    </row>
    <row r="170" spans="1:27" x14ac:dyDescent="0.2">
      <c r="A170">
        <v>3</v>
      </c>
      <c r="B170" t="s">
        <v>125</v>
      </c>
      <c r="C170">
        <v>7</v>
      </c>
      <c r="D170" t="s">
        <v>145</v>
      </c>
      <c r="E170" t="s">
        <v>403</v>
      </c>
      <c r="F170">
        <v>1</v>
      </c>
      <c r="G170" t="s">
        <v>415</v>
      </c>
      <c r="H170" t="s">
        <v>418</v>
      </c>
      <c r="I170" t="s">
        <v>378</v>
      </c>
      <c r="N170">
        <v>2</v>
      </c>
      <c r="O170">
        <v>2</v>
      </c>
      <c r="T170">
        <v>2</v>
      </c>
      <c r="U170">
        <f t="shared" si="17"/>
        <v>3</v>
      </c>
      <c r="V170">
        <f t="shared" si="18"/>
        <v>6</v>
      </c>
      <c r="W170" s="4">
        <f t="shared" si="15"/>
        <v>2</v>
      </c>
      <c r="X170" s="4">
        <f t="shared" si="16"/>
        <v>100</v>
      </c>
      <c r="Z170">
        <f t="shared" si="19"/>
        <v>279</v>
      </c>
      <c r="AA170">
        <f t="shared" si="21"/>
        <v>0</v>
      </c>
    </row>
    <row r="171" spans="1:27" x14ac:dyDescent="0.2">
      <c r="A171">
        <v>1</v>
      </c>
      <c r="B171" t="s">
        <v>125</v>
      </c>
      <c r="C171">
        <v>7</v>
      </c>
      <c r="D171" t="s">
        <v>145</v>
      </c>
      <c r="E171" t="s">
        <v>403</v>
      </c>
      <c r="F171">
        <v>1</v>
      </c>
      <c r="G171" t="s">
        <v>419</v>
      </c>
      <c r="H171" t="s">
        <v>420</v>
      </c>
      <c r="I171" t="s">
        <v>378</v>
      </c>
      <c r="N171">
        <v>2</v>
      </c>
      <c r="O171">
        <v>2</v>
      </c>
      <c r="T171">
        <v>2</v>
      </c>
      <c r="U171">
        <f t="shared" si="17"/>
        <v>3</v>
      </c>
      <c r="V171">
        <f t="shared" si="18"/>
        <v>6</v>
      </c>
      <c r="W171" s="4">
        <f t="shared" si="15"/>
        <v>2</v>
      </c>
      <c r="X171" s="4">
        <f t="shared" si="16"/>
        <v>100</v>
      </c>
      <c r="Z171">
        <f t="shared" si="19"/>
        <v>241</v>
      </c>
      <c r="AA171">
        <f t="shared" si="21"/>
        <v>0</v>
      </c>
    </row>
    <row r="172" spans="1:27" x14ac:dyDescent="0.2">
      <c r="A172">
        <v>2</v>
      </c>
      <c r="B172" t="s">
        <v>125</v>
      </c>
      <c r="C172">
        <v>7</v>
      </c>
      <c r="D172" t="s">
        <v>145</v>
      </c>
      <c r="E172" t="s">
        <v>403</v>
      </c>
      <c r="F172">
        <v>1</v>
      </c>
      <c r="G172" t="s">
        <v>419</v>
      </c>
      <c r="H172" t="s">
        <v>421</v>
      </c>
      <c r="I172" t="s">
        <v>378</v>
      </c>
      <c r="N172">
        <v>2</v>
      </c>
      <c r="O172">
        <v>2</v>
      </c>
      <c r="T172">
        <v>2</v>
      </c>
      <c r="U172">
        <f t="shared" si="17"/>
        <v>3</v>
      </c>
      <c r="V172">
        <f t="shared" si="18"/>
        <v>6</v>
      </c>
      <c r="W172" s="4">
        <f t="shared" si="15"/>
        <v>2</v>
      </c>
      <c r="X172" s="4">
        <f t="shared" si="16"/>
        <v>100</v>
      </c>
      <c r="Z172">
        <f t="shared" si="19"/>
        <v>251</v>
      </c>
      <c r="AA172">
        <f t="shared" si="21"/>
        <v>0</v>
      </c>
    </row>
    <row r="173" spans="1:27" x14ac:dyDescent="0.2">
      <c r="A173">
        <v>3</v>
      </c>
      <c r="B173" t="s">
        <v>125</v>
      </c>
      <c r="C173">
        <v>7</v>
      </c>
      <c r="D173" t="s">
        <v>145</v>
      </c>
      <c r="E173" t="s">
        <v>403</v>
      </c>
      <c r="F173">
        <v>1</v>
      </c>
      <c r="G173" t="s">
        <v>419</v>
      </c>
      <c r="H173" t="s">
        <v>422</v>
      </c>
      <c r="I173" t="s">
        <v>378</v>
      </c>
      <c r="N173">
        <v>2</v>
      </c>
      <c r="O173">
        <v>2</v>
      </c>
      <c r="T173">
        <v>2</v>
      </c>
      <c r="U173">
        <f t="shared" si="17"/>
        <v>3</v>
      </c>
      <c r="V173">
        <f t="shared" si="18"/>
        <v>6</v>
      </c>
      <c r="W173" s="4">
        <f t="shared" si="15"/>
        <v>2</v>
      </c>
      <c r="X173" s="4">
        <f t="shared" si="16"/>
        <v>100</v>
      </c>
      <c r="Z173">
        <f t="shared" si="19"/>
        <v>299</v>
      </c>
      <c r="AA173">
        <f t="shared" si="21"/>
        <v>0</v>
      </c>
    </row>
    <row r="174" spans="1:27" x14ac:dyDescent="0.2">
      <c r="A174">
        <v>1</v>
      </c>
      <c r="B174" t="s">
        <v>125</v>
      </c>
      <c r="C174">
        <v>7</v>
      </c>
      <c r="D174" t="s">
        <v>145</v>
      </c>
      <c r="E174" t="s">
        <v>403</v>
      </c>
      <c r="F174">
        <v>1</v>
      </c>
      <c r="G174" t="s">
        <v>423</v>
      </c>
      <c r="H174" t="s">
        <v>424</v>
      </c>
      <c r="I174" t="s">
        <v>378</v>
      </c>
      <c r="N174">
        <v>2</v>
      </c>
      <c r="O174">
        <v>2</v>
      </c>
      <c r="T174">
        <v>2</v>
      </c>
      <c r="U174">
        <f t="shared" si="17"/>
        <v>3</v>
      </c>
      <c r="V174">
        <f t="shared" si="18"/>
        <v>6</v>
      </c>
      <c r="W174" s="4">
        <f t="shared" si="15"/>
        <v>2</v>
      </c>
      <c r="X174" s="4">
        <f t="shared" si="16"/>
        <v>100</v>
      </c>
      <c r="Z174">
        <f t="shared" si="19"/>
        <v>325</v>
      </c>
      <c r="AA174">
        <f t="shared" si="21"/>
        <v>0</v>
      </c>
    </row>
    <row r="175" spans="1:27" x14ac:dyDescent="0.2">
      <c r="A175">
        <v>2</v>
      </c>
      <c r="B175" t="s">
        <v>125</v>
      </c>
      <c r="C175">
        <v>7</v>
      </c>
      <c r="D175" t="s">
        <v>145</v>
      </c>
      <c r="E175" t="s">
        <v>403</v>
      </c>
      <c r="F175">
        <v>1</v>
      </c>
      <c r="G175" t="s">
        <v>423</v>
      </c>
      <c r="H175" t="s">
        <v>425</v>
      </c>
      <c r="I175" t="s">
        <v>378</v>
      </c>
      <c r="N175">
        <v>2</v>
      </c>
      <c r="O175">
        <v>2</v>
      </c>
      <c r="T175">
        <v>2</v>
      </c>
      <c r="U175">
        <f t="shared" si="17"/>
        <v>3</v>
      </c>
      <c r="V175">
        <f t="shared" si="18"/>
        <v>6</v>
      </c>
      <c r="W175" s="4">
        <f t="shared" si="15"/>
        <v>2</v>
      </c>
      <c r="X175" s="4">
        <f t="shared" si="16"/>
        <v>100</v>
      </c>
      <c r="Z175">
        <f t="shared" si="19"/>
        <v>305</v>
      </c>
      <c r="AA175">
        <f>IF(X175&lt;50,1,0)</f>
        <v>0</v>
      </c>
    </row>
    <row r="176" spans="1:27" x14ac:dyDescent="0.2">
      <c r="A176">
        <v>3</v>
      </c>
      <c r="B176" t="s">
        <v>125</v>
      </c>
      <c r="C176">
        <v>7</v>
      </c>
      <c r="D176" t="s">
        <v>145</v>
      </c>
      <c r="E176" t="s">
        <v>403</v>
      </c>
      <c r="F176">
        <v>1</v>
      </c>
      <c r="G176" t="s">
        <v>423</v>
      </c>
      <c r="H176" t="s">
        <v>426</v>
      </c>
      <c r="I176" t="s">
        <v>378</v>
      </c>
      <c r="N176">
        <v>2</v>
      </c>
      <c r="O176">
        <v>2</v>
      </c>
      <c r="T176">
        <v>2</v>
      </c>
      <c r="U176">
        <f t="shared" si="17"/>
        <v>3</v>
      </c>
      <c r="V176">
        <f t="shared" si="18"/>
        <v>6</v>
      </c>
      <c r="W176" s="4">
        <f t="shared" si="15"/>
        <v>2</v>
      </c>
      <c r="X176" s="4">
        <f t="shared" si="16"/>
        <v>100</v>
      </c>
      <c r="Z176">
        <f t="shared" si="19"/>
        <v>264</v>
      </c>
      <c r="AA176">
        <f t="shared" ref="AA176:AA195" si="22">IF(X176&lt;50,1,0)</f>
        <v>0</v>
      </c>
    </row>
    <row r="177" spans="1:27" x14ac:dyDescent="0.2">
      <c r="A177">
        <v>1</v>
      </c>
      <c r="B177" t="s">
        <v>125</v>
      </c>
      <c r="C177">
        <v>7</v>
      </c>
      <c r="D177" t="s">
        <v>145</v>
      </c>
      <c r="E177" t="s">
        <v>403</v>
      </c>
      <c r="F177">
        <v>1</v>
      </c>
      <c r="G177" t="s">
        <v>427</v>
      </c>
      <c r="H177" t="s">
        <v>428</v>
      </c>
      <c r="I177" t="s">
        <v>378</v>
      </c>
      <c r="N177">
        <v>2</v>
      </c>
      <c r="O177">
        <v>1</v>
      </c>
      <c r="T177">
        <v>2</v>
      </c>
      <c r="U177">
        <f t="shared" si="17"/>
        <v>3</v>
      </c>
      <c r="V177">
        <f t="shared" si="18"/>
        <v>5</v>
      </c>
      <c r="W177" s="4">
        <f t="shared" si="15"/>
        <v>1.6666666666666667</v>
      </c>
      <c r="X177" s="4">
        <f t="shared" si="16"/>
        <v>83.333333333333343</v>
      </c>
      <c r="Z177">
        <f t="shared" si="19"/>
        <v>199</v>
      </c>
      <c r="AA177">
        <f t="shared" si="22"/>
        <v>0</v>
      </c>
    </row>
    <row r="178" spans="1:27" x14ac:dyDescent="0.2">
      <c r="A178">
        <v>2</v>
      </c>
      <c r="B178" t="s">
        <v>125</v>
      </c>
      <c r="C178">
        <v>7</v>
      </c>
      <c r="D178" t="s">
        <v>145</v>
      </c>
      <c r="E178" t="s">
        <v>403</v>
      </c>
      <c r="F178">
        <v>1</v>
      </c>
      <c r="G178" t="s">
        <v>427</v>
      </c>
      <c r="H178" t="s">
        <v>429</v>
      </c>
      <c r="I178" t="s">
        <v>378</v>
      </c>
      <c r="N178">
        <v>2</v>
      </c>
      <c r="O178">
        <v>2</v>
      </c>
      <c r="T178">
        <v>2</v>
      </c>
      <c r="U178">
        <f t="shared" si="17"/>
        <v>3</v>
      </c>
      <c r="V178">
        <f t="shared" si="18"/>
        <v>6</v>
      </c>
      <c r="W178" s="4">
        <f t="shared" si="15"/>
        <v>2</v>
      </c>
      <c r="X178" s="4">
        <f t="shared" si="16"/>
        <v>100</v>
      </c>
      <c r="Y178" t="s">
        <v>430</v>
      </c>
      <c r="Z178">
        <f t="shared" si="19"/>
        <v>410</v>
      </c>
      <c r="AA178">
        <f t="shared" si="22"/>
        <v>0</v>
      </c>
    </row>
    <row r="179" spans="1:27" x14ac:dyDescent="0.2">
      <c r="A179">
        <v>3</v>
      </c>
      <c r="B179" t="s">
        <v>125</v>
      </c>
      <c r="C179">
        <v>7</v>
      </c>
      <c r="D179" t="s">
        <v>145</v>
      </c>
      <c r="E179" t="s">
        <v>403</v>
      </c>
      <c r="F179">
        <v>1</v>
      </c>
      <c r="G179" t="s">
        <v>427</v>
      </c>
      <c r="H179" t="s">
        <v>431</v>
      </c>
      <c r="I179" t="s">
        <v>378</v>
      </c>
      <c r="N179">
        <v>1</v>
      </c>
      <c r="O179">
        <v>1</v>
      </c>
      <c r="T179">
        <v>1</v>
      </c>
      <c r="U179">
        <f t="shared" si="17"/>
        <v>3</v>
      </c>
      <c r="V179">
        <f t="shared" si="18"/>
        <v>3</v>
      </c>
      <c r="W179" s="4">
        <f t="shared" si="15"/>
        <v>1</v>
      </c>
      <c r="X179" s="4">
        <f t="shared" si="16"/>
        <v>50</v>
      </c>
      <c r="Y179" t="s">
        <v>412</v>
      </c>
      <c r="Z179">
        <f t="shared" si="19"/>
        <v>301</v>
      </c>
      <c r="AA179">
        <f t="shared" si="22"/>
        <v>0</v>
      </c>
    </row>
    <row r="180" spans="1:27" x14ac:dyDescent="0.2">
      <c r="A180">
        <v>1</v>
      </c>
      <c r="B180" t="s">
        <v>125</v>
      </c>
      <c r="C180">
        <v>7</v>
      </c>
      <c r="D180" t="s">
        <v>145</v>
      </c>
      <c r="E180" t="s">
        <v>403</v>
      </c>
      <c r="F180">
        <v>1</v>
      </c>
      <c r="G180" t="s">
        <v>432</v>
      </c>
      <c r="H180" t="s">
        <v>433</v>
      </c>
      <c r="I180" t="s">
        <v>378</v>
      </c>
      <c r="N180">
        <v>2</v>
      </c>
      <c r="O180">
        <v>2</v>
      </c>
      <c r="T180">
        <v>2</v>
      </c>
      <c r="U180">
        <f t="shared" si="17"/>
        <v>3</v>
      </c>
      <c r="V180">
        <f t="shared" si="18"/>
        <v>6</v>
      </c>
      <c r="W180" s="4">
        <f t="shared" si="15"/>
        <v>2</v>
      </c>
      <c r="X180" s="4">
        <f t="shared" si="16"/>
        <v>100</v>
      </c>
      <c r="Z180">
        <f t="shared" si="19"/>
        <v>266</v>
      </c>
      <c r="AA180">
        <f t="shared" si="22"/>
        <v>0</v>
      </c>
    </row>
    <row r="181" spans="1:27" x14ac:dyDescent="0.2">
      <c r="A181">
        <v>2</v>
      </c>
      <c r="B181" t="s">
        <v>125</v>
      </c>
      <c r="C181">
        <v>7</v>
      </c>
      <c r="D181" t="s">
        <v>145</v>
      </c>
      <c r="E181" t="s">
        <v>403</v>
      </c>
      <c r="F181">
        <v>1</v>
      </c>
      <c r="G181" t="s">
        <v>432</v>
      </c>
      <c r="H181" t="s">
        <v>434</v>
      </c>
      <c r="I181" t="s">
        <v>378</v>
      </c>
      <c r="N181">
        <v>2</v>
      </c>
      <c r="O181">
        <v>2</v>
      </c>
      <c r="T181">
        <v>2</v>
      </c>
      <c r="U181">
        <f t="shared" si="17"/>
        <v>3</v>
      </c>
      <c r="V181">
        <f t="shared" si="18"/>
        <v>6</v>
      </c>
      <c r="W181" s="4">
        <f t="shared" si="15"/>
        <v>2</v>
      </c>
      <c r="X181" s="4">
        <f t="shared" si="16"/>
        <v>100</v>
      </c>
      <c r="Z181">
        <f t="shared" si="19"/>
        <v>291</v>
      </c>
      <c r="AA181">
        <f t="shared" si="22"/>
        <v>0</v>
      </c>
    </row>
    <row r="182" spans="1:27" x14ac:dyDescent="0.2">
      <c r="A182">
        <v>3</v>
      </c>
      <c r="B182" t="s">
        <v>125</v>
      </c>
      <c r="C182">
        <v>7</v>
      </c>
      <c r="D182" t="s">
        <v>145</v>
      </c>
      <c r="E182" t="s">
        <v>403</v>
      </c>
      <c r="F182">
        <v>1</v>
      </c>
      <c r="G182" t="s">
        <v>432</v>
      </c>
      <c r="H182" t="s">
        <v>435</v>
      </c>
      <c r="I182" t="s">
        <v>378</v>
      </c>
      <c r="N182">
        <v>1</v>
      </c>
      <c r="O182">
        <v>2</v>
      </c>
      <c r="T182">
        <v>1</v>
      </c>
      <c r="U182">
        <f t="shared" si="17"/>
        <v>3</v>
      </c>
      <c r="V182">
        <f t="shared" si="18"/>
        <v>4</v>
      </c>
      <c r="W182" s="4">
        <f t="shared" si="15"/>
        <v>1.3333333333333333</v>
      </c>
      <c r="X182" s="4">
        <f t="shared" si="16"/>
        <v>66.666666666666657</v>
      </c>
      <c r="Y182" t="s">
        <v>436</v>
      </c>
      <c r="Z182">
        <f t="shared" si="19"/>
        <v>338</v>
      </c>
      <c r="AA182">
        <f t="shared" si="22"/>
        <v>0</v>
      </c>
    </row>
    <row r="183" spans="1:27" x14ac:dyDescent="0.2">
      <c r="A183">
        <v>1</v>
      </c>
      <c r="B183" t="s">
        <v>125</v>
      </c>
      <c r="C183">
        <v>7</v>
      </c>
      <c r="D183" t="s">
        <v>145</v>
      </c>
      <c r="E183" t="s">
        <v>403</v>
      </c>
      <c r="F183">
        <v>1</v>
      </c>
      <c r="G183" t="s">
        <v>182</v>
      </c>
      <c r="H183" t="s">
        <v>437</v>
      </c>
      <c r="I183" t="s">
        <v>378</v>
      </c>
      <c r="N183">
        <v>2</v>
      </c>
      <c r="O183">
        <v>2</v>
      </c>
      <c r="T183">
        <v>2</v>
      </c>
      <c r="U183">
        <f t="shared" si="17"/>
        <v>3</v>
      </c>
      <c r="V183">
        <f t="shared" si="18"/>
        <v>6</v>
      </c>
      <c r="W183" s="4">
        <f t="shared" si="15"/>
        <v>2</v>
      </c>
      <c r="X183" s="4">
        <f t="shared" si="16"/>
        <v>100</v>
      </c>
      <c r="Z183">
        <f t="shared" si="19"/>
        <v>268</v>
      </c>
      <c r="AA183">
        <f t="shared" si="22"/>
        <v>0</v>
      </c>
    </row>
    <row r="184" spans="1:27" x14ac:dyDescent="0.2">
      <c r="A184">
        <v>2</v>
      </c>
      <c r="B184" t="s">
        <v>125</v>
      </c>
      <c r="C184">
        <v>7</v>
      </c>
      <c r="D184" t="s">
        <v>145</v>
      </c>
      <c r="E184" t="s">
        <v>403</v>
      </c>
      <c r="F184">
        <v>1</v>
      </c>
      <c r="G184" t="s">
        <v>182</v>
      </c>
      <c r="H184" t="s">
        <v>438</v>
      </c>
      <c r="I184" t="s">
        <v>378</v>
      </c>
      <c r="N184">
        <v>2</v>
      </c>
      <c r="O184">
        <v>2</v>
      </c>
      <c r="T184">
        <v>2</v>
      </c>
      <c r="U184">
        <f t="shared" si="17"/>
        <v>3</v>
      </c>
      <c r="V184">
        <f t="shared" si="18"/>
        <v>6</v>
      </c>
      <c r="W184" s="4">
        <f t="shared" si="15"/>
        <v>2</v>
      </c>
      <c r="X184" s="4">
        <f t="shared" si="16"/>
        <v>100</v>
      </c>
      <c r="Z184">
        <f t="shared" si="19"/>
        <v>357</v>
      </c>
      <c r="AA184">
        <f t="shared" si="22"/>
        <v>0</v>
      </c>
    </row>
    <row r="185" spans="1:27" x14ac:dyDescent="0.2">
      <c r="A185">
        <v>3</v>
      </c>
      <c r="B185" t="s">
        <v>125</v>
      </c>
      <c r="C185">
        <v>7</v>
      </c>
      <c r="D185" t="s">
        <v>145</v>
      </c>
      <c r="E185" t="s">
        <v>403</v>
      </c>
      <c r="F185">
        <v>1</v>
      </c>
      <c r="G185" t="s">
        <v>182</v>
      </c>
      <c r="H185" t="s">
        <v>439</v>
      </c>
      <c r="I185" t="s">
        <v>378</v>
      </c>
      <c r="N185">
        <v>2</v>
      </c>
      <c r="O185">
        <v>2</v>
      </c>
      <c r="T185">
        <v>1</v>
      </c>
      <c r="U185">
        <f t="shared" si="17"/>
        <v>3</v>
      </c>
      <c r="V185">
        <f t="shared" si="18"/>
        <v>5</v>
      </c>
      <c r="W185" s="4">
        <f t="shared" si="15"/>
        <v>1.6666666666666667</v>
      </c>
      <c r="X185" s="4">
        <f t="shared" si="16"/>
        <v>83.333333333333343</v>
      </c>
      <c r="Z185">
        <f t="shared" si="19"/>
        <v>260</v>
      </c>
      <c r="AA185">
        <f t="shared" si="22"/>
        <v>0</v>
      </c>
    </row>
    <row r="186" spans="1:27" x14ac:dyDescent="0.2">
      <c r="A186">
        <v>1</v>
      </c>
      <c r="B186" t="s">
        <v>125</v>
      </c>
      <c r="C186">
        <v>5</v>
      </c>
      <c r="D186" t="s">
        <v>143</v>
      </c>
      <c r="E186" t="s">
        <v>403</v>
      </c>
      <c r="F186">
        <v>1</v>
      </c>
      <c r="G186" t="s">
        <v>440</v>
      </c>
      <c r="H186" t="s">
        <v>441</v>
      </c>
      <c r="I186" t="s">
        <v>378</v>
      </c>
      <c r="N186">
        <v>2</v>
      </c>
      <c r="O186">
        <v>2</v>
      </c>
      <c r="T186">
        <v>2</v>
      </c>
      <c r="U186">
        <f t="shared" si="17"/>
        <v>3</v>
      </c>
      <c r="V186">
        <f t="shared" si="18"/>
        <v>6</v>
      </c>
      <c r="W186" s="4">
        <f t="shared" si="15"/>
        <v>2</v>
      </c>
      <c r="X186" s="4">
        <f t="shared" si="16"/>
        <v>100</v>
      </c>
      <c r="Y186" t="s">
        <v>442</v>
      </c>
      <c r="Z186">
        <f t="shared" si="19"/>
        <v>313</v>
      </c>
      <c r="AA186">
        <f t="shared" si="22"/>
        <v>0</v>
      </c>
    </row>
    <row r="187" spans="1:27" x14ac:dyDescent="0.2">
      <c r="A187">
        <v>2</v>
      </c>
      <c r="B187" t="s">
        <v>125</v>
      </c>
      <c r="C187">
        <v>5</v>
      </c>
      <c r="D187" t="s">
        <v>143</v>
      </c>
      <c r="E187" t="s">
        <v>443</v>
      </c>
      <c r="F187">
        <v>1</v>
      </c>
      <c r="G187" t="s">
        <v>440</v>
      </c>
      <c r="H187" t="s">
        <v>444</v>
      </c>
      <c r="I187" t="s">
        <v>378</v>
      </c>
      <c r="N187">
        <v>2</v>
      </c>
      <c r="O187">
        <v>2</v>
      </c>
      <c r="T187">
        <v>2</v>
      </c>
      <c r="U187">
        <f t="shared" si="17"/>
        <v>3</v>
      </c>
      <c r="V187">
        <f t="shared" si="18"/>
        <v>6</v>
      </c>
      <c r="W187" s="4">
        <f t="shared" si="15"/>
        <v>2</v>
      </c>
      <c r="X187" s="4">
        <f t="shared" si="16"/>
        <v>100</v>
      </c>
      <c r="Y187" t="s">
        <v>442</v>
      </c>
      <c r="Z187">
        <f t="shared" si="19"/>
        <v>394</v>
      </c>
      <c r="AA187">
        <f t="shared" si="22"/>
        <v>0</v>
      </c>
    </row>
    <row r="188" spans="1:27" x14ac:dyDescent="0.2">
      <c r="A188">
        <v>3</v>
      </c>
      <c r="B188" t="s">
        <v>125</v>
      </c>
      <c r="C188">
        <v>5</v>
      </c>
      <c r="D188" t="s">
        <v>143</v>
      </c>
      <c r="E188" t="s">
        <v>443</v>
      </c>
      <c r="F188">
        <v>1</v>
      </c>
      <c r="G188" t="s">
        <v>440</v>
      </c>
      <c r="H188" t="s">
        <v>445</v>
      </c>
      <c r="I188" t="s">
        <v>378</v>
      </c>
      <c r="N188">
        <v>2</v>
      </c>
      <c r="O188">
        <v>2</v>
      </c>
      <c r="T188">
        <v>2</v>
      </c>
      <c r="U188">
        <f t="shared" si="17"/>
        <v>3</v>
      </c>
      <c r="V188">
        <f t="shared" si="18"/>
        <v>6</v>
      </c>
      <c r="W188" s="4">
        <f t="shared" si="15"/>
        <v>2</v>
      </c>
      <c r="X188" s="4">
        <f t="shared" si="16"/>
        <v>100</v>
      </c>
      <c r="Y188" t="s">
        <v>442</v>
      </c>
      <c r="Z188">
        <f t="shared" si="19"/>
        <v>400</v>
      </c>
      <c r="AA188">
        <f t="shared" si="22"/>
        <v>0</v>
      </c>
    </row>
    <row r="189" spans="1:27" x14ac:dyDescent="0.2">
      <c r="A189">
        <v>1</v>
      </c>
      <c r="B189" t="s">
        <v>125</v>
      </c>
      <c r="C189">
        <v>5</v>
      </c>
      <c r="D189" t="s">
        <v>143</v>
      </c>
      <c r="E189" t="s">
        <v>443</v>
      </c>
      <c r="F189">
        <v>1</v>
      </c>
      <c r="G189" t="s">
        <v>446</v>
      </c>
      <c r="H189" t="s">
        <v>447</v>
      </c>
      <c r="I189" t="s">
        <v>378</v>
      </c>
      <c r="N189">
        <v>2</v>
      </c>
      <c r="O189">
        <v>2</v>
      </c>
      <c r="T189">
        <v>2</v>
      </c>
      <c r="U189">
        <f t="shared" si="17"/>
        <v>3</v>
      </c>
      <c r="V189">
        <f t="shared" si="18"/>
        <v>6</v>
      </c>
      <c r="W189" s="4">
        <f t="shared" si="15"/>
        <v>2</v>
      </c>
      <c r="X189" s="4">
        <f t="shared" si="16"/>
        <v>100</v>
      </c>
      <c r="Y189" t="s">
        <v>448</v>
      </c>
      <c r="Z189">
        <f t="shared" si="19"/>
        <v>338</v>
      </c>
      <c r="AA189">
        <f t="shared" si="22"/>
        <v>0</v>
      </c>
    </row>
    <row r="190" spans="1:27" x14ac:dyDescent="0.2">
      <c r="A190">
        <v>2</v>
      </c>
      <c r="B190" t="s">
        <v>125</v>
      </c>
      <c r="C190">
        <v>5</v>
      </c>
      <c r="D190" t="s">
        <v>143</v>
      </c>
      <c r="E190" t="s">
        <v>443</v>
      </c>
      <c r="F190">
        <v>1</v>
      </c>
      <c r="G190" t="s">
        <v>446</v>
      </c>
      <c r="H190" t="s">
        <v>449</v>
      </c>
      <c r="I190" t="s">
        <v>378</v>
      </c>
      <c r="N190">
        <v>2</v>
      </c>
      <c r="O190">
        <v>2</v>
      </c>
      <c r="T190">
        <v>2</v>
      </c>
      <c r="U190">
        <f t="shared" si="17"/>
        <v>3</v>
      </c>
      <c r="V190">
        <f t="shared" si="18"/>
        <v>6</v>
      </c>
      <c r="W190" s="4">
        <f t="shared" si="15"/>
        <v>2</v>
      </c>
      <c r="X190" s="4">
        <f t="shared" si="16"/>
        <v>100</v>
      </c>
      <c r="Y190" t="s">
        <v>448</v>
      </c>
      <c r="Z190">
        <f t="shared" si="19"/>
        <v>525</v>
      </c>
      <c r="AA190">
        <f t="shared" si="22"/>
        <v>0</v>
      </c>
    </row>
    <row r="191" spans="1:27" x14ac:dyDescent="0.2">
      <c r="A191">
        <v>3</v>
      </c>
      <c r="B191" t="s">
        <v>125</v>
      </c>
      <c r="C191">
        <v>5</v>
      </c>
      <c r="D191" t="s">
        <v>143</v>
      </c>
      <c r="E191" t="s">
        <v>443</v>
      </c>
      <c r="F191">
        <v>1</v>
      </c>
      <c r="G191" t="s">
        <v>446</v>
      </c>
      <c r="H191" t="s">
        <v>450</v>
      </c>
      <c r="I191" t="s">
        <v>378</v>
      </c>
      <c r="N191">
        <v>2</v>
      </c>
      <c r="O191">
        <v>2</v>
      </c>
      <c r="T191">
        <v>2</v>
      </c>
      <c r="U191">
        <f t="shared" si="17"/>
        <v>3</v>
      </c>
      <c r="V191">
        <f t="shared" si="18"/>
        <v>6</v>
      </c>
      <c r="W191" s="4">
        <f t="shared" si="15"/>
        <v>2</v>
      </c>
      <c r="X191" s="4">
        <f t="shared" si="16"/>
        <v>100</v>
      </c>
      <c r="Y191" t="s">
        <v>451</v>
      </c>
      <c r="Z191">
        <f t="shared" si="19"/>
        <v>458</v>
      </c>
      <c r="AA191">
        <f t="shared" si="22"/>
        <v>0</v>
      </c>
    </row>
    <row r="192" spans="1:27" x14ac:dyDescent="0.2">
      <c r="A192">
        <v>1</v>
      </c>
      <c r="B192" t="s">
        <v>125</v>
      </c>
      <c r="C192">
        <v>5</v>
      </c>
      <c r="D192" t="s">
        <v>143</v>
      </c>
      <c r="E192" t="s">
        <v>443</v>
      </c>
      <c r="F192">
        <v>1</v>
      </c>
      <c r="G192" t="s">
        <v>452</v>
      </c>
      <c r="H192" t="s">
        <v>453</v>
      </c>
      <c r="I192" t="s">
        <v>378</v>
      </c>
      <c r="N192">
        <v>2</v>
      </c>
      <c r="O192">
        <v>2</v>
      </c>
      <c r="T192">
        <v>1</v>
      </c>
      <c r="U192">
        <f t="shared" si="17"/>
        <v>3</v>
      </c>
      <c r="V192">
        <f t="shared" si="18"/>
        <v>5</v>
      </c>
      <c r="W192" s="4">
        <f t="shared" si="15"/>
        <v>1.6666666666666667</v>
      </c>
      <c r="X192" s="4">
        <f t="shared" si="16"/>
        <v>83.333333333333343</v>
      </c>
      <c r="Y192" t="s">
        <v>442</v>
      </c>
      <c r="Z192">
        <f t="shared" si="19"/>
        <v>358</v>
      </c>
      <c r="AA192">
        <f t="shared" si="22"/>
        <v>0</v>
      </c>
    </row>
    <row r="193" spans="1:27" x14ac:dyDescent="0.2">
      <c r="A193">
        <v>2</v>
      </c>
      <c r="B193" t="s">
        <v>125</v>
      </c>
      <c r="C193">
        <v>5</v>
      </c>
      <c r="D193" t="s">
        <v>143</v>
      </c>
      <c r="E193" t="s">
        <v>443</v>
      </c>
      <c r="F193">
        <v>1</v>
      </c>
      <c r="G193" t="s">
        <v>452</v>
      </c>
      <c r="H193" t="s">
        <v>454</v>
      </c>
      <c r="I193" t="s">
        <v>378</v>
      </c>
      <c r="N193">
        <v>2</v>
      </c>
      <c r="O193">
        <v>2</v>
      </c>
      <c r="T193">
        <v>2</v>
      </c>
      <c r="U193">
        <f t="shared" si="17"/>
        <v>3</v>
      </c>
      <c r="V193">
        <f t="shared" si="18"/>
        <v>6</v>
      </c>
      <c r="W193" s="4">
        <f t="shared" si="15"/>
        <v>2</v>
      </c>
      <c r="X193" s="4">
        <f t="shared" si="16"/>
        <v>100</v>
      </c>
      <c r="Y193" t="s">
        <v>442</v>
      </c>
      <c r="Z193">
        <f t="shared" si="19"/>
        <v>473</v>
      </c>
      <c r="AA193">
        <f t="shared" si="22"/>
        <v>0</v>
      </c>
    </row>
    <row r="194" spans="1:27" x14ac:dyDescent="0.2">
      <c r="A194">
        <v>3</v>
      </c>
      <c r="B194" t="s">
        <v>125</v>
      </c>
      <c r="C194">
        <v>5</v>
      </c>
      <c r="D194" t="s">
        <v>143</v>
      </c>
      <c r="E194" t="s">
        <v>443</v>
      </c>
      <c r="F194">
        <v>1</v>
      </c>
      <c r="G194" t="s">
        <v>452</v>
      </c>
      <c r="H194" t="s">
        <v>455</v>
      </c>
      <c r="I194" t="s">
        <v>378</v>
      </c>
      <c r="N194">
        <v>2</v>
      </c>
      <c r="O194">
        <v>2</v>
      </c>
      <c r="T194">
        <v>2</v>
      </c>
      <c r="U194">
        <f t="shared" si="17"/>
        <v>3</v>
      </c>
      <c r="V194">
        <f t="shared" si="18"/>
        <v>6</v>
      </c>
      <c r="W194" s="4">
        <f t="shared" ref="W194:W257" si="23">IF(U194=0,"",V194/U194)</f>
        <v>2</v>
      </c>
      <c r="X194" s="4">
        <f t="shared" ref="X194:X257" si="24">IF(W194="","",W194/2*100)</f>
        <v>100</v>
      </c>
      <c r="Y194" t="s">
        <v>442</v>
      </c>
      <c r="Z194">
        <f t="shared" si="19"/>
        <v>488</v>
      </c>
      <c r="AA194">
        <f t="shared" si="22"/>
        <v>0</v>
      </c>
    </row>
    <row r="195" spans="1:27" x14ac:dyDescent="0.2">
      <c r="A195">
        <v>1</v>
      </c>
      <c r="B195" t="s">
        <v>125</v>
      </c>
      <c r="C195">
        <v>5</v>
      </c>
      <c r="D195" t="s">
        <v>143</v>
      </c>
      <c r="E195" t="s">
        <v>443</v>
      </c>
      <c r="F195">
        <v>1</v>
      </c>
      <c r="G195" t="s">
        <v>456</v>
      </c>
      <c r="H195" t="s">
        <v>457</v>
      </c>
      <c r="I195" t="s">
        <v>378</v>
      </c>
      <c r="N195">
        <v>2</v>
      </c>
      <c r="O195">
        <v>2</v>
      </c>
      <c r="T195">
        <v>1</v>
      </c>
      <c r="U195">
        <f t="shared" ref="U195:U258" si="25">COUNT(J195:T195)</f>
        <v>3</v>
      </c>
      <c r="V195">
        <f t="shared" ref="V195:V258" si="26">SUM(J195:T195)</f>
        <v>5</v>
      </c>
      <c r="W195" s="4">
        <f t="shared" si="23"/>
        <v>1.6666666666666667</v>
      </c>
      <c r="X195" s="4">
        <f t="shared" si="24"/>
        <v>83.333333333333343</v>
      </c>
      <c r="Y195" t="s">
        <v>448</v>
      </c>
      <c r="Z195">
        <f t="shared" ref="Z195:Z258" si="27">LEN(H195)</f>
        <v>372</v>
      </c>
      <c r="AA195">
        <f t="shared" si="22"/>
        <v>0</v>
      </c>
    </row>
    <row r="196" spans="1:27" x14ac:dyDescent="0.2">
      <c r="A196">
        <v>2</v>
      </c>
      <c r="B196" t="s">
        <v>125</v>
      </c>
      <c r="C196">
        <v>5</v>
      </c>
      <c r="D196" t="s">
        <v>143</v>
      </c>
      <c r="E196" t="s">
        <v>443</v>
      </c>
      <c r="F196">
        <v>1</v>
      </c>
      <c r="G196" t="s">
        <v>456</v>
      </c>
      <c r="H196" t="s">
        <v>458</v>
      </c>
      <c r="I196" t="s">
        <v>378</v>
      </c>
      <c r="N196">
        <v>2</v>
      </c>
      <c r="O196">
        <v>2</v>
      </c>
      <c r="T196">
        <v>2</v>
      </c>
      <c r="U196">
        <f t="shared" si="25"/>
        <v>3</v>
      </c>
      <c r="V196">
        <f t="shared" si="26"/>
        <v>6</v>
      </c>
      <c r="W196" s="4">
        <f t="shared" si="23"/>
        <v>2</v>
      </c>
      <c r="X196" s="4">
        <f t="shared" si="24"/>
        <v>100</v>
      </c>
      <c r="Y196" t="s">
        <v>448</v>
      </c>
      <c r="Z196">
        <f t="shared" si="27"/>
        <v>471</v>
      </c>
      <c r="AA196">
        <f>IF(X196&lt;50,1,0)</f>
        <v>0</v>
      </c>
    </row>
    <row r="197" spans="1:27" x14ac:dyDescent="0.2">
      <c r="A197">
        <v>3</v>
      </c>
      <c r="B197" t="s">
        <v>125</v>
      </c>
      <c r="C197">
        <v>5</v>
      </c>
      <c r="D197" t="s">
        <v>143</v>
      </c>
      <c r="E197" t="s">
        <v>443</v>
      </c>
      <c r="F197">
        <v>1</v>
      </c>
      <c r="G197" t="s">
        <v>456</v>
      </c>
      <c r="H197" t="s">
        <v>459</v>
      </c>
      <c r="I197" t="s">
        <v>378</v>
      </c>
      <c r="N197">
        <v>2</v>
      </c>
      <c r="O197">
        <v>2</v>
      </c>
      <c r="T197">
        <v>2</v>
      </c>
      <c r="U197">
        <f t="shared" si="25"/>
        <v>3</v>
      </c>
      <c r="V197">
        <f t="shared" si="26"/>
        <v>6</v>
      </c>
      <c r="W197" s="4">
        <f t="shared" si="23"/>
        <v>2</v>
      </c>
      <c r="X197" s="4">
        <f t="shared" si="24"/>
        <v>100</v>
      </c>
      <c r="Y197" t="s">
        <v>451</v>
      </c>
      <c r="Z197">
        <f t="shared" si="27"/>
        <v>540</v>
      </c>
      <c r="AA197">
        <f t="shared" ref="AA197:AA223" si="28">IF(X197&lt;50,1,0)</f>
        <v>0</v>
      </c>
    </row>
    <row r="198" spans="1:27" x14ac:dyDescent="0.2">
      <c r="A198">
        <v>1</v>
      </c>
      <c r="B198" t="s">
        <v>125</v>
      </c>
      <c r="C198">
        <v>5</v>
      </c>
      <c r="D198" t="s">
        <v>143</v>
      </c>
      <c r="E198" t="s">
        <v>443</v>
      </c>
      <c r="F198">
        <v>1</v>
      </c>
      <c r="G198" t="s">
        <v>460</v>
      </c>
      <c r="H198" t="s">
        <v>461</v>
      </c>
      <c r="I198" t="s">
        <v>378</v>
      </c>
      <c r="N198">
        <v>2</v>
      </c>
      <c r="O198">
        <v>2</v>
      </c>
      <c r="T198">
        <v>2</v>
      </c>
      <c r="U198">
        <f t="shared" si="25"/>
        <v>3</v>
      </c>
      <c r="V198">
        <f t="shared" si="26"/>
        <v>6</v>
      </c>
      <c r="W198" s="4">
        <f t="shared" si="23"/>
        <v>2</v>
      </c>
      <c r="X198" s="4">
        <f t="shared" si="24"/>
        <v>100</v>
      </c>
      <c r="Y198" t="s">
        <v>442</v>
      </c>
      <c r="Z198">
        <f t="shared" si="27"/>
        <v>381</v>
      </c>
      <c r="AA198">
        <f t="shared" si="28"/>
        <v>0</v>
      </c>
    </row>
    <row r="199" spans="1:27" x14ac:dyDescent="0.2">
      <c r="A199">
        <v>2</v>
      </c>
      <c r="B199" t="s">
        <v>125</v>
      </c>
      <c r="C199">
        <v>5</v>
      </c>
      <c r="D199" t="s">
        <v>143</v>
      </c>
      <c r="E199" t="s">
        <v>443</v>
      </c>
      <c r="F199">
        <v>1</v>
      </c>
      <c r="G199" t="s">
        <v>460</v>
      </c>
      <c r="H199" t="s">
        <v>462</v>
      </c>
      <c r="I199" t="s">
        <v>378</v>
      </c>
      <c r="N199">
        <v>2</v>
      </c>
      <c r="O199">
        <v>2</v>
      </c>
      <c r="T199">
        <v>2</v>
      </c>
      <c r="U199">
        <f t="shared" si="25"/>
        <v>3</v>
      </c>
      <c r="V199">
        <f t="shared" si="26"/>
        <v>6</v>
      </c>
      <c r="W199" s="4">
        <f t="shared" si="23"/>
        <v>2</v>
      </c>
      <c r="X199" s="4">
        <f t="shared" si="24"/>
        <v>100</v>
      </c>
      <c r="Y199" t="s">
        <v>442</v>
      </c>
      <c r="Z199">
        <f t="shared" si="27"/>
        <v>432</v>
      </c>
      <c r="AA199">
        <f t="shared" si="28"/>
        <v>0</v>
      </c>
    </row>
    <row r="200" spans="1:27" x14ac:dyDescent="0.2">
      <c r="A200">
        <v>3</v>
      </c>
      <c r="B200" t="s">
        <v>125</v>
      </c>
      <c r="C200">
        <v>5</v>
      </c>
      <c r="D200" t="s">
        <v>143</v>
      </c>
      <c r="E200" t="s">
        <v>443</v>
      </c>
      <c r="F200">
        <v>1</v>
      </c>
      <c r="G200" t="s">
        <v>460</v>
      </c>
      <c r="H200" t="s">
        <v>463</v>
      </c>
      <c r="I200" t="s">
        <v>378</v>
      </c>
      <c r="N200">
        <v>2</v>
      </c>
      <c r="O200">
        <v>2</v>
      </c>
      <c r="T200">
        <v>2</v>
      </c>
      <c r="U200">
        <f t="shared" si="25"/>
        <v>3</v>
      </c>
      <c r="V200">
        <f t="shared" si="26"/>
        <v>6</v>
      </c>
      <c r="W200" s="4">
        <f t="shared" si="23"/>
        <v>2</v>
      </c>
      <c r="X200" s="4">
        <f t="shared" si="24"/>
        <v>100</v>
      </c>
      <c r="Y200" t="s">
        <v>442</v>
      </c>
      <c r="Z200">
        <f t="shared" si="27"/>
        <v>509</v>
      </c>
      <c r="AA200">
        <f t="shared" si="28"/>
        <v>0</v>
      </c>
    </row>
    <row r="201" spans="1:27" x14ac:dyDescent="0.2">
      <c r="A201">
        <v>1</v>
      </c>
      <c r="B201" t="s">
        <v>125</v>
      </c>
      <c r="C201">
        <v>5</v>
      </c>
      <c r="D201" t="s">
        <v>143</v>
      </c>
      <c r="E201" t="s">
        <v>443</v>
      </c>
      <c r="F201">
        <v>1</v>
      </c>
      <c r="G201" t="s">
        <v>464</v>
      </c>
      <c r="H201" t="s">
        <v>465</v>
      </c>
      <c r="I201" t="s">
        <v>378</v>
      </c>
      <c r="N201">
        <v>2</v>
      </c>
      <c r="O201">
        <v>2</v>
      </c>
      <c r="T201">
        <v>1</v>
      </c>
      <c r="U201">
        <f t="shared" si="25"/>
        <v>3</v>
      </c>
      <c r="V201">
        <f t="shared" si="26"/>
        <v>5</v>
      </c>
      <c r="W201" s="4">
        <f t="shared" si="23"/>
        <v>1.6666666666666667</v>
      </c>
      <c r="X201" s="4">
        <f t="shared" si="24"/>
        <v>83.333333333333343</v>
      </c>
      <c r="Y201" t="s">
        <v>448</v>
      </c>
      <c r="Z201">
        <f t="shared" si="27"/>
        <v>383</v>
      </c>
      <c r="AA201">
        <f t="shared" si="28"/>
        <v>0</v>
      </c>
    </row>
    <row r="202" spans="1:27" x14ac:dyDescent="0.2">
      <c r="A202">
        <v>2</v>
      </c>
      <c r="B202" t="s">
        <v>125</v>
      </c>
      <c r="C202">
        <v>5</v>
      </c>
      <c r="D202" t="s">
        <v>143</v>
      </c>
      <c r="E202" t="s">
        <v>443</v>
      </c>
      <c r="F202">
        <v>1</v>
      </c>
      <c r="G202" t="s">
        <v>464</v>
      </c>
      <c r="H202" t="s">
        <v>466</v>
      </c>
      <c r="I202" t="s">
        <v>378</v>
      </c>
      <c r="N202">
        <v>0</v>
      </c>
      <c r="O202">
        <v>0</v>
      </c>
      <c r="T202">
        <v>0</v>
      </c>
      <c r="U202">
        <f t="shared" si="25"/>
        <v>3</v>
      </c>
      <c r="V202">
        <f t="shared" si="26"/>
        <v>0</v>
      </c>
      <c r="W202" s="4">
        <f t="shared" si="23"/>
        <v>0</v>
      </c>
      <c r="X202" s="4">
        <f t="shared" si="24"/>
        <v>0</v>
      </c>
      <c r="Y202" t="s">
        <v>448</v>
      </c>
      <c r="Z202">
        <f t="shared" si="27"/>
        <v>219</v>
      </c>
      <c r="AA202">
        <f t="shared" si="28"/>
        <v>1</v>
      </c>
    </row>
    <row r="203" spans="1:27" x14ac:dyDescent="0.2">
      <c r="A203">
        <v>2</v>
      </c>
      <c r="B203" t="s">
        <v>125</v>
      </c>
      <c r="C203">
        <v>5</v>
      </c>
      <c r="D203" t="s">
        <v>143</v>
      </c>
      <c r="E203" t="s">
        <v>443</v>
      </c>
      <c r="F203">
        <v>2</v>
      </c>
      <c r="G203" t="s">
        <v>464</v>
      </c>
      <c r="H203" t="s">
        <v>467</v>
      </c>
      <c r="I203" t="s">
        <v>378</v>
      </c>
      <c r="N203">
        <v>0</v>
      </c>
      <c r="O203">
        <v>0</v>
      </c>
      <c r="T203">
        <v>0</v>
      </c>
      <c r="U203">
        <f t="shared" si="25"/>
        <v>3</v>
      </c>
      <c r="V203">
        <f t="shared" si="26"/>
        <v>0</v>
      </c>
      <c r="W203" s="4">
        <f t="shared" si="23"/>
        <v>0</v>
      </c>
      <c r="X203" s="4">
        <f t="shared" si="24"/>
        <v>0</v>
      </c>
      <c r="Y203" t="s">
        <v>448</v>
      </c>
      <c r="Z203">
        <f t="shared" si="27"/>
        <v>243</v>
      </c>
      <c r="AA203">
        <f t="shared" si="28"/>
        <v>1</v>
      </c>
    </row>
    <row r="204" spans="1:27" x14ac:dyDescent="0.2">
      <c r="A204">
        <v>2</v>
      </c>
      <c r="B204" t="s">
        <v>125</v>
      </c>
      <c r="C204">
        <v>5</v>
      </c>
      <c r="D204" t="s">
        <v>143</v>
      </c>
      <c r="E204" t="s">
        <v>443</v>
      </c>
      <c r="F204">
        <v>3</v>
      </c>
      <c r="G204" t="s">
        <v>464</v>
      </c>
      <c r="H204" t="s">
        <v>468</v>
      </c>
      <c r="I204" t="s">
        <v>378</v>
      </c>
      <c r="N204">
        <v>0</v>
      </c>
      <c r="O204">
        <v>0</v>
      </c>
      <c r="T204">
        <v>0</v>
      </c>
      <c r="U204">
        <f t="shared" si="25"/>
        <v>3</v>
      </c>
      <c r="V204">
        <f t="shared" si="26"/>
        <v>0</v>
      </c>
      <c r="W204" s="4">
        <f t="shared" si="23"/>
        <v>0</v>
      </c>
      <c r="X204" s="4">
        <f t="shared" si="24"/>
        <v>0</v>
      </c>
      <c r="Y204" t="s">
        <v>448</v>
      </c>
      <c r="Z204">
        <f t="shared" si="27"/>
        <v>297</v>
      </c>
      <c r="AA204">
        <f t="shared" si="28"/>
        <v>1</v>
      </c>
    </row>
    <row r="205" spans="1:27" x14ac:dyDescent="0.2">
      <c r="A205">
        <v>3</v>
      </c>
      <c r="B205" t="s">
        <v>125</v>
      </c>
      <c r="C205">
        <v>5</v>
      </c>
      <c r="D205" t="s">
        <v>143</v>
      </c>
      <c r="E205" t="s">
        <v>443</v>
      </c>
      <c r="F205">
        <v>1</v>
      </c>
      <c r="G205" t="s">
        <v>469</v>
      </c>
      <c r="H205" t="s">
        <v>470</v>
      </c>
      <c r="I205" t="s">
        <v>378</v>
      </c>
      <c r="N205">
        <v>2</v>
      </c>
      <c r="O205">
        <v>2</v>
      </c>
      <c r="T205">
        <v>2</v>
      </c>
      <c r="U205">
        <f t="shared" si="25"/>
        <v>3</v>
      </c>
      <c r="V205">
        <f t="shared" si="26"/>
        <v>6</v>
      </c>
      <c r="W205" s="4">
        <f t="shared" si="23"/>
        <v>2</v>
      </c>
      <c r="X205" s="4">
        <f t="shared" si="24"/>
        <v>100</v>
      </c>
      <c r="Y205" t="s">
        <v>448</v>
      </c>
      <c r="Z205">
        <f t="shared" si="27"/>
        <v>511</v>
      </c>
      <c r="AA205">
        <f t="shared" si="28"/>
        <v>0</v>
      </c>
    </row>
    <row r="206" spans="1:27" x14ac:dyDescent="0.2">
      <c r="A206">
        <v>1</v>
      </c>
      <c r="B206" t="s">
        <v>125</v>
      </c>
      <c r="C206">
        <v>5</v>
      </c>
      <c r="D206" t="s">
        <v>143</v>
      </c>
      <c r="E206" t="s">
        <v>443</v>
      </c>
      <c r="F206">
        <v>1</v>
      </c>
      <c r="G206" t="s">
        <v>471</v>
      </c>
      <c r="H206" t="s">
        <v>472</v>
      </c>
      <c r="I206" t="s">
        <v>378</v>
      </c>
      <c r="N206">
        <v>2</v>
      </c>
      <c r="O206">
        <v>2</v>
      </c>
      <c r="T206">
        <v>2</v>
      </c>
      <c r="U206">
        <f t="shared" si="25"/>
        <v>3</v>
      </c>
      <c r="V206">
        <f t="shared" si="26"/>
        <v>6</v>
      </c>
      <c r="W206" s="4">
        <f t="shared" si="23"/>
        <v>2</v>
      </c>
      <c r="X206" s="4">
        <f t="shared" si="24"/>
        <v>100</v>
      </c>
      <c r="Y206" t="s">
        <v>442</v>
      </c>
      <c r="Z206">
        <f t="shared" si="27"/>
        <v>219</v>
      </c>
      <c r="AA206">
        <f t="shared" si="28"/>
        <v>0</v>
      </c>
    </row>
    <row r="207" spans="1:27" x14ac:dyDescent="0.2">
      <c r="A207">
        <v>2</v>
      </c>
      <c r="B207" t="s">
        <v>125</v>
      </c>
      <c r="C207">
        <v>5</v>
      </c>
      <c r="D207" t="s">
        <v>143</v>
      </c>
      <c r="E207" t="s">
        <v>443</v>
      </c>
      <c r="F207">
        <v>1</v>
      </c>
      <c r="G207" t="s">
        <v>471</v>
      </c>
      <c r="H207" t="s">
        <v>473</v>
      </c>
      <c r="I207" t="s">
        <v>378</v>
      </c>
      <c r="N207">
        <v>0</v>
      </c>
      <c r="O207">
        <v>0</v>
      </c>
      <c r="T207">
        <v>0</v>
      </c>
      <c r="U207">
        <f t="shared" si="25"/>
        <v>3</v>
      </c>
      <c r="V207">
        <f t="shared" si="26"/>
        <v>0</v>
      </c>
      <c r="W207" s="4">
        <f t="shared" si="23"/>
        <v>0</v>
      </c>
      <c r="X207" s="4">
        <f t="shared" si="24"/>
        <v>0</v>
      </c>
      <c r="Y207" t="s">
        <v>442</v>
      </c>
      <c r="Z207">
        <f t="shared" si="27"/>
        <v>245</v>
      </c>
      <c r="AA207">
        <f t="shared" si="28"/>
        <v>1</v>
      </c>
    </row>
    <row r="208" spans="1:27" x14ac:dyDescent="0.2">
      <c r="A208">
        <v>2</v>
      </c>
      <c r="B208" t="s">
        <v>125</v>
      </c>
      <c r="C208">
        <v>5</v>
      </c>
      <c r="D208" t="s">
        <v>143</v>
      </c>
      <c r="E208" t="s">
        <v>443</v>
      </c>
      <c r="F208">
        <v>2</v>
      </c>
      <c r="G208" t="s">
        <v>471</v>
      </c>
      <c r="H208" t="s">
        <v>474</v>
      </c>
      <c r="I208" t="s">
        <v>378</v>
      </c>
      <c r="N208">
        <v>2</v>
      </c>
      <c r="O208">
        <v>2</v>
      </c>
      <c r="T208">
        <v>2</v>
      </c>
      <c r="U208">
        <f t="shared" si="25"/>
        <v>3</v>
      </c>
      <c r="V208">
        <f t="shared" si="26"/>
        <v>6</v>
      </c>
      <c r="W208" s="4">
        <f t="shared" si="23"/>
        <v>2</v>
      </c>
      <c r="X208" s="4">
        <f t="shared" si="24"/>
        <v>100</v>
      </c>
      <c r="Y208" t="s">
        <v>442</v>
      </c>
      <c r="Z208">
        <f t="shared" si="27"/>
        <v>504</v>
      </c>
      <c r="AA208">
        <f t="shared" si="28"/>
        <v>0</v>
      </c>
    </row>
    <row r="209" spans="1:27" x14ac:dyDescent="0.2">
      <c r="A209">
        <v>3</v>
      </c>
      <c r="B209" t="s">
        <v>125</v>
      </c>
      <c r="C209">
        <v>5</v>
      </c>
      <c r="D209" t="s">
        <v>143</v>
      </c>
      <c r="E209" t="s">
        <v>443</v>
      </c>
      <c r="F209">
        <v>1</v>
      </c>
      <c r="G209" t="s">
        <v>475</v>
      </c>
      <c r="H209" t="s">
        <v>476</v>
      </c>
      <c r="I209" t="s">
        <v>378</v>
      </c>
      <c r="N209">
        <v>2</v>
      </c>
      <c r="O209">
        <v>2</v>
      </c>
      <c r="T209">
        <v>1</v>
      </c>
      <c r="U209">
        <f t="shared" si="25"/>
        <v>3</v>
      </c>
      <c r="V209">
        <f t="shared" si="26"/>
        <v>5</v>
      </c>
      <c r="W209" s="4">
        <f t="shared" si="23"/>
        <v>1.6666666666666667</v>
      </c>
      <c r="X209" s="4">
        <f t="shared" si="24"/>
        <v>83.333333333333343</v>
      </c>
      <c r="Y209" t="s">
        <v>442</v>
      </c>
      <c r="Z209">
        <f t="shared" si="27"/>
        <v>521</v>
      </c>
      <c r="AA209">
        <f t="shared" si="28"/>
        <v>0</v>
      </c>
    </row>
    <row r="210" spans="1:27" x14ac:dyDescent="0.2">
      <c r="A210">
        <v>1</v>
      </c>
      <c r="B210" t="s">
        <v>125</v>
      </c>
      <c r="C210">
        <v>5</v>
      </c>
      <c r="D210" t="s">
        <v>143</v>
      </c>
      <c r="E210" t="s">
        <v>443</v>
      </c>
      <c r="F210">
        <v>1</v>
      </c>
      <c r="G210" t="s">
        <v>477</v>
      </c>
      <c r="H210" t="s">
        <v>478</v>
      </c>
      <c r="I210" t="s">
        <v>378</v>
      </c>
      <c r="N210">
        <v>2</v>
      </c>
      <c r="O210">
        <v>2</v>
      </c>
      <c r="T210">
        <v>2</v>
      </c>
      <c r="U210">
        <f t="shared" si="25"/>
        <v>3</v>
      </c>
      <c r="V210">
        <f t="shared" si="26"/>
        <v>6</v>
      </c>
      <c r="W210" s="4">
        <f t="shared" si="23"/>
        <v>2</v>
      </c>
      <c r="X210" s="4">
        <f t="shared" si="24"/>
        <v>100</v>
      </c>
      <c r="Y210" t="s">
        <v>448</v>
      </c>
      <c r="Z210">
        <f t="shared" si="27"/>
        <v>368</v>
      </c>
      <c r="AA210">
        <f t="shared" si="28"/>
        <v>0</v>
      </c>
    </row>
    <row r="211" spans="1:27" x14ac:dyDescent="0.2">
      <c r="A211">
        <v>2</v>
      </c>
      <c r="B211" t="s">
        <v>125</v>
      </c>
      <c r="C211">
        <v>5</v>
      </c>
      <c r="D211" t="s">
        <v>143</v>
      </c>
      <c r="E211" t="s">
        <v>443</v>
      </c>
      <c r="F211">
        <v>1</v>
      </c>
      <c r="G211" t="s">
        <v>477</v>
      </c>
      <c r="H211" t="s">
        <v>479</v>
      </c>
      <c r="I211" t="s">
        <v>378</v>
      </c>
      <c r="N211">
        <v>2</v>
      </c>
      <c r="O211">
        <v>2</v>
      </c>
      <c r="T211">
        <v>2</v>
      </c>
      <c r="U211">
        <f t="shared" si="25"/>
        <v>3</v>
      </c>
      <c r="V211">
        <f t="shared" si="26"/>
        <v>6</v>
      </c>
      <c r="W211" s="4">
        <f t="shared" si="23"/>
        <v>2</v>
      </c>
      <c r="X211" s="4">
        <f t="shared" si="24"/>
        <v>100</v>
      </c>
      <c r="Y211" t="s">
        <v>448</v>
      </c>
      <c r="Z211">
        <f t="shared" si="27"/>
        <v>488</v>
      </c>
      <c r="AA211">
        <f t="shared" si="28"/>
        <v>0</v>
      </c>
    </row>
    <row r="212" spans="1:27" x14ac:dyDescent="0.2">
      <c r="A212">
        <v>3</v>
      </c>
      <c r="B212" t="s">
        <v>125</v>
      </c>
      <c r="C212">
        <v>5</v>
      </c>
      <c r="D212" t="s">
        <v>143</v>
      </c>
      <c r="E212" t="s">
        <v>443</v>
      </c>
      <c r="F212">
        <v>1</v>
      </c>
      <c r="G212" t="s">
        <v>477</v>
      </c>
      <c r="H212" t="s">
        <v>480</v>
      </c>
      <c r="I212" t="s">
        <v>378</v>
      </c>
      <c r="N212">
        <v>2</v>
      </c>
      <c r="O212">
        <v>2</v>
      </c>
      <c r="T212">
        <v>2</v>
      </c>
      <c r="U212">
        <f t="shared" si="25"/>
        <v>3</v>
      </c>
      <c r="V212">
        <f t="shared" si="26"/>
        <v>6</v>
      </c>
      <c r="W212" s="4">
        <f t="shared" si="23"/>
        <v>2</v>
      </c>
      <c r="X212" s="4">
        <f t="shared" si="24"/>
        <v>100</v>
      </c>
      <c r="Y212" t="s">
        <v>481</v>
      </c>
      <c r="Z212">
        <f t="shared" si="27"/>
        <v>548</v>
      </c>
      <c r="AA212">
        <f t="shared" si="28"/>
        <v>0</v>
      </c>
    </row>
    <row r="213" spans="1:27" x14ac:dyDescent="0.2">
      <c r="A213">
        <v>1</v>
      </c>
      <c r="B213" t="s">
        <v>129</v>
      </c>
      <c r="C213">
        <v>8</v>
      </c>
      <c r="D213" t="s">
        <v>146</v>
      </c>
      <c r="E213" t="s">
        <v>482</v>
      </c>
      <c r="F213">
        <v>1</v>
      </c>
      <c r="G213" t="s">
        <v>483</v>
      </c>
      <c r="H213" t="s">
        <v>484</v>
      </c>
      <c r="I213" t="s">
        <v>485</v>
      </c>
      <c r="O213">
        <v>1</v>
      </c>
      <c r="P213">
        <v>1</v>
      </c>
      <c r="Q213">
        <v>1</v>
      </c>
      <c r="T213">
        <v>0</v>
      </c>
      <c r="U213">
        <f t="shared" si="25"/>
        <v>4</v>
      </c>
      <c r="V213">
        <f t="shared" si="26"/>
        <v>3</v>
      </c>
      <c r="W213" s="4">
        <f t="shared" si="23"/>
        <v>0.75</v>
      </c>
      <c r="X213" s="4">
        <f t="shared" si="24"/>
        <v>37.5</v>
      </c>
      <c r="Y213" t="s">
        <v>486</v>
      </c>
      <c r="Z213">
        <f t="shared" si="27"/>
        <v>233</v>
      </c>
      <c r="AA213">
        <f t="shared" si="28"/>
        <v>1</v>
      </c>
    </row>
    <row r="214" spans="1:27" x14ac:dyDescent="0.2">
      <c r="A214">
        <v>2</v>
      </c>
      <c r="B214" t="s">
        <v>129</v>
      </c>
      <c r="C214">
        <v>8</v>
      </c>
      <c r="D214" t="s">
        <v>146</v>
      </c>
      <c r="E214" t="s">
        <v>482</v>
      </c>
      <c r="F214">
        <v>1</v>
      </c>
      <c r="G214" t="s">
        <v>483</v>
      </c>
      <c r="H214" t="s">
        <v>487</v>
      </c>
      <c r="I214" t="s">
        <v>485</v>
      </c>
      <c r="O214">
        <v>1</v>
      </c>
      <c r="P214">
        <v>1</v>
      </c>
      <c r="Q214">
        <v>1</v>
      </c>
      <c r="T214">
        <v>0</v>
      </c>
      <c r="U214">
        <f t="shared" si="25"/>
        <v>4</v>
      </c>
      <c r="V214">
        <f t="shared" si="26"/>
        <v>3</v>
      </c>
      <c r="W214" s="4">
        <f t="shared" si="23"/>
        <v>0.75</v>
      </c>
      <c r="X214" s="4">
        <f t="shared" si="24"/>
        <v>37.5</v>
      </c>
      <c r="Y214" t="s">
        <v>486</v>
      </c>
      <c r="Z214">
        <f t="shared" si="27"/>
        <v>326</v>
      </c>
      <c r="AA214">
        <f t="shared" si="28"/>
        <v>1</v>
      </c>
    </row>
    <row r="215" spans="1:27" x14ac:dyDescent="0.2">
      <c r="A215">
        <v>3</v>
      </c>
      <c r="B215" t="s">
        <v>129</v>
      </c>
      <c r="C215">
        <v>8</v>
      </c>
      <c r="D215" t="s">
        <v>146</v>
      </c>
      <c r="E215" t="s">
        <v>482</v>
      </c>
      <c r="F215">
        <v>1</v>
      </c>
      <c r="G215" t="s">
        <v>483</v>
      </c>
      <c r="H215" t="s">
        <v>488</v>
      </c>
      <c r="I215" t="s">
        <v>485</v>
      </c>
      <c r="O215">
        <v>1</v>
      </c>
      <c r="P215">
        <v>1</v>
      </c>
      <c r="Q215">
        <v>1</v>
      </c>
      <c r="T215">
        <v>0</v>
      </c>
      <c r="U215">
        <f t="shared" si="25"/>
        <v>4</v>
      </c>
      <c r="V215">
        <f t="shared" si="26"/>
        <v>3</v>
      </c>
      <c r="W215" s="4">
        <f t="shared" si="23"/>
        <v>0.75</v>
      </c>
      <c r="X215" s="4">
        <f t="shared" si="24"/>
        <v>37.5</v>
      </c>
      <c r="Y215" t="s">
        <v>486</v>
      </c>
      <c r="Z215">
        <f t="shared" si="27"/>
        <v>337</v>
      </c>
      <c r="AA215">
        <f t="shared" si="28"/>
        <v>1</v>
      </c>
    </row>
    <row r="216" spans="1:27" x14ac:dyDescent="0.2">
      <c r="A216">
        <v>1</v>
      </c>
      <c r="B216" t="s">
        <v>129</v>
      </c>
      <c r="C216">
        <v>8</v>
      </c>
      <c r="D216" t="s">
        <v>146</v>
      </c>
      <c r="E216" t="s">
        <v>482</v>
      </c>
      <c r="F216">
        <v>1</v>
      </c>
      <c r="G216" t="s">
        <v>489</v>
      </c>
      <c r="H216" t="s">
        <v>490</v>
      </c>
      <c r="I216" t="s">
        <v>485</v>
      </c>
      <c r="O216">
        <v>1</v>
      </c>
      <c r="P216">
        <v>1</v>
      </c>
      <c r="Q216">
        <v>1</v>
      </c>
      <c r="T216">
        <v>1</v>
      </c>
      <c r="U216">
        <f t="shared" si="25"/>
        <v>4</v>
      </c>
      <c r="V216">
        <f t="shared" si="26"/>
        <v>4</v>
      </c>
      <c r="W216" s="4">
        <f t="shared" si="23"/>
        <v>1</v>
      </c>
      <c r="X216" s="4">
        <f t="shared" si="24"/>
        <v>50</v>
      </c>
      <c r="Y216" t="s">
        <v>486</v>
      </c>
      <c r="Z216">
        <f t="shared" si="27"/>
        <v>152</v>
      </c>
      <c r="AA216">
        <f t="shared" si="28"/>
        <v>0</v>
      </c>
    </row>
    <row r="217" spans="1:27" x14ac:dyDescent="0.2">
      <c r="A217">
        <v>2</v>
      </c>
      <c r="B217" t="s">
        <v>129</v>
      </c>
      <c r="C217">
        <v>8</v>
      </c>
      <c r="D217" t="s">
        <v>146</v>
      </c>
      <c r="E217" t="s">
        <v>482</v>
      </c>
      <c r="F217">
        <v>1</v>
      </c>
      <c r="G217" t="s">
        <v>489</v>
      </c>
      <c r="H217" t="s">
        <v>491</v>
      </c>
      <c r="I217" t="s">
        <v>485</v>
      </c>
      <c r="O217">
        <v>1</v>
      </c>
      <c r="P217">
        <v>1</v>
      </c>
      <c r="Q217">
        <v>1</v>
      </c>
      <c r="T217">
        <v>2</v>
      </c>
      <c r="U217">
        <f t="shared" si="25"/>
        <v>4</v>
      </c>
      <c r="V217">
        <f t="shared" si="26"/>
        <v>5</v>
      </c>
      <c r="W217" s="4">
        <f t="shared" si="23"/>
        <v>1.25</v>
      </c>
      <c r="X217" s="4">
        <f t="shared" si="24"/>
        <v>62.5</v>
      </c>
      <c r="Y217" t="s">
        <v>486</v>
      </c>
      <c r="Z217">
        <f t="shared" si="27"/>
        <v>351</v>
      </c>
      <c r="AA217">
        <f t="shared" si="28"/>
        <v>0</v>
      </c>
    </row>
    <row r="218" spans="1:27" x14ac:dyDescent="0.2">
      <c r="A218">
        <v>3</v>
      </c>
      <c r="B218" t="s">
        <v>129</v>
      </c>
      <c r="C218">
        <v>8</v>
      </c>
      <c r="D218" t="s">
        <v>146</v>
      </c>
      <c r="E218" t="s">
        <v>482</v>
      </c>
      <c r="F218">
        <v>1</v>
      </c>
      <c r="G218" t="s">
        <v>489</v>
      </c>
      <c r="H218" t="s">
        <v>492</v>
      </c>
      <c r="I218" t="s">
        <v>485</v>
      </c>
      <c r="O218">
        <v>1</v>
      </c>
      <c r="P218">
        <v>1</v>
      </c>
      <c r="Q218">
        <v>1</v>
      </c>
      <c r="T218">
        <v>2</v>
      </c>
      <c r="U218">
        <f t="shared" si="25"/>
        <v>4</v>
      </c>
      <c r="V218">
        <f t="shared" si="26"/>
        <v>5</v>
      </c>
      <c r="W218" s="4">
        <f t="shared" si="23"/>
        <v>1.25</v>
      </c>
      <c r="X218" s="4">
        <f t="shared" si="24"/>
        <v>62.5</v>
      </c>
      <c r="Y218" t="s">
        <v>486</v>
      </c>
      <c r="Z218">
        <f t="shared" si="27"/>
        <v>320</v>
      </c>
      <c r="AA218">
        <f t="shared" si="28"/>
        <v>0</v>
      </c>
    </row>
    <row r="219" spans="1:27" x14ac:dyDescent="0.2">
      <c r="A219">
        <v>1</v>
      </c>
      <c r="B219" t="s">
        <v>129</v>
      </c>
      <c r="C219">
        <v>8</v>
      </c>
      <c r="D219" t="s">
        <v>146</v>
      </c>
      <c r="E219" t="s">
        <v>482</v>
      </c>
      <c r="F219">
        <v>1</v>
      </c>
      <c r="G219" t="s">
        <v>493</v>
      </c>
      <c r="H219" t="s">
        <v>494</v>
      </c>
      <c r="I219" t="s">
        <v>485</v>
      </c>
      <c r="O219">
        <v>1</v>
      </c>
      <c r="P219">
        <v>1</v>
      </c>
      <c r="Q219">
        <v>1</v>
      </c>
      <c r="T219">
        <v>1</v>
      </c>
      <c r="U219">
        <f t="shared" si="25"/>
        <v>4</v>
      </c>
      <c r="V219">
        <f t="shared" si="26"/>
        <v>4</v>
      </c>
      <c r="W219" s="4">
        <f t="shared" si="23"/>
        <v>1</v>
      </c>
      <c r="X219" s="4">
        <f t="shared" si="24"/>
        <v>50</v>
      </c>
      <c r="Y219" t="s">
        <v>486</v>
      </c>
      <c r="Z219">
        <f t="shared" si="27"/>
        <v>178</v>
      </c>
      <c r="AA219">
        <f t="shared" si="28"/>
        <v>0</v>
      </c>
    </row>
    <row r="220" spans="1:27" x14ac:dyDescent="0.2">
      <c r="A220">
        <v>2</v>
      </c>
      <c r="B220" t="s">
        <v>129</v>
      </c>
      <c r="C220">
        <v>8</v>
      </c>
      <c r="D220" t="s">
        <v>146</v>
      </c>
      <c r="E220" t="s">
        <v>482</v>
      </c>
      <c r="F220">
        <v>1</v>
      </c>
      <c r="G220" t="s">
        <v>493</v>
      </c>
      <c r="H220" t="s">
        <v>495</v>
      </c>
      <c r="I220" t="s">
        <v>485</v>
      </c>
      <c r="O220">
        <v>1</v>
      </c>
      <c r="P220">
        <v>1</v>
      </c>
      <c r="Q220">
        <v>1</v>
      </c>
      <c r="T220">
        <v>1</v>
      </c>
      <c r="U220">
        <f t="shared" si="25"/>
        <v>4</v>
      </c>
      <c r="V220">
        <f t="shared" si="26"/>
        <v>4</v>
      </c>
      <c r="W220" s="4">
        <f t="shared" si="23"/>
        <v>1</v>
      </c>
      <c r="X220" s="4">
        <f t="shared" si="24"/>
        <v>50</v>
      </c>
      <c r="Y220" t="s">
        <v>486</v>
      </c>
      <c r="Z220">
        <f t="shared" si="27"/>
        <v>368</v>
      </c>
      <c r="AA220">
        <f t="shared" si="28"/>
        <v>0</v>
      </c>
    </row>
    <row r="221" spans="1:27" x14ac:dyDescent="0.2">
      <c r="A221">
        <v>3</v>
      </c>
      <c r="B221" t="s">
        <v>129</v>
      </c>
      <c r="C221">
        <v>8</v>
      </c>
      <c r="D221" t="s">
        <v>146</v>
      </c>
      <c r="E221" t="s">
        <v>482</v>
      </c>
      <c r="F221">
        <v>1</v>
      </c>
      <c r="G221" t="s">
        <v>493</v>
      </c>
      <c r="H221" t="s">
        <v>496</v>
      </c>
      <c r="I221" t="s">
        <v>485</v>
      </c>
      <c r="O221">
        <v>1</v>
      </c>
      <c r="P221">
        <v>1</v>
      </c>
      <c r="Q221">
        <v>1</v>
      </c>
      <c r="T221">
        <v>1</v>
      </c>
      <c r="U221">
        <f t="shared" si="25"/>
        <v>4</v>
      </c>
      <c r="V221">
        <f t="shared" si="26"/>
        <v>4</v>
      </c>
      <c r="W221" s="4">
        <f t="shared" si="23"/>
        <v>1</v>
      </c>
      <c r="X221" s="4">
        <f t="shared" si="24"/>
        <v>50</v>
      </c>
      <c r="Y221" t="s">
        <v>486</v>
      </c>
      <c r="Z221">
        <f t="shared" si="27"/>
        <v>257</v>
      </c>
      <c r="AA221">
        <f t="shared" si="28"/>
        <v>0</v>
      </c>
    </row>
    <row r="222" spans="1:27" x14ac:dyDescent="0.2">
      <c r="A222">
        <v>1</v>
      </c>
      <c r="B222" t="s">
        <v>129</v>
      </c>
      <c r="C222">
        <v>8</v>
      </c>
      <c r="D222" t="s">
        <v>146</v>
      </c>
      <c r="E222" t="s">
        <v>482</v>
      </c>
      <c r="F222">
        <v>1</v>
      </c>
      <c r="G222" t="s">
        <v>497</v>
      </c>
      <c r="H222" t="s">
        <v>498</v>
      </c>
      <c r="I222" t="s">
        <v>485</v>
      </c>
      <c r="O222">
        <v>1</v>
      </c>
      <c r="P222">
        <v>1</v>
      </c>
      <c r="Q222">
        <v>1</v>
      </c>
      <c r="T222">
        <v>0</v>
      </c>
      <c r="U222">
        <f t="shared" si="25"/>
        <v>4</v>
      </c>
      <c r="V222">
        <f t="shared" si="26"/>
        <v>3</v>
      </c>
      <c r="W222" s="4">
        <f t="shared" si="23"/>
        <v>0.75</v>
      </c>
      <c r="X222" s="4">
        <f t="shared" si="24"/>
        <v>37.5</v>
      </c>
      <c r="Y222" t="s">
        <v>499</v>
      </c>
      <c r="Z222">
        <f t="shared" si="27"/>
        <v>150</v>
      </c>
      <c r="AA222">
        <f t="shared" si="28"/>
        <v>1</v>
      </c>
    </row>
    <row r="223" spans="1:27" x14ac:dyDescent="0.2">
      <c r="A223">
        <v>2</v>
      </c>
      <c r="B223" t="s">
        <v>129</v>
      </c>
      <c r="C223">
        <v>8</v>
      </c>
      <c r="D223" t="s">
        <v>146</v>
      </c>
      <c r="E223" t="s">
        <v>482</v>
      </c>
      <c r="F223">
        <v>1</v>
      </c>
      <c r="G223" t="s">
        <v>497</v>
      </c>
      <c r="H223" t="s">
        <v>500</v>
      </c>
      <c r="I223" t="s">
        <v>485</v>
      </c>
      <c r="O223">
        <v>1</v>
      </c>
      <c r="P223">
        <v>1</v>
      </c>
      <c r="Q223">
        <v>1</v>
      </c>
      <c r="T223">
        <v>2</v>
      </c>
      <c r="U223">
        <f t="shared" si="25"/>
        <v>4</v>
      </c>
      <c r="V223">
        <f t="shared" si="26"/>
        <v>5</v>
      </c>
      <c r="W223" s="4">
        <f t="shared" si="23"/>
        <v>1.25</v>
      </c>
      <c r="X223" s="4">
        <f t="shared" si="24"/>
        <v>62.5</v>
      </c>
      <c r="Z223">
        <f t="shared" si="27"/>
        <v>298</v>
      </c>
      <c r="AA223">
        <f t="shared" si="28"/>
        <v>0</v>
      </c>
    </row>
    <row r="224" spans="1:27" x14ac:dyDescent="0.2">
      <c r="A224">
        <v>3</v>
      </c>
      <c r="B224" t="s">
        <v>129</v>
      </c>
      <c r="C224">
        <v>8</v>
      </c>
      <c r="D224" t="s">
        <v>146</v>
      </c>
      <c r="E224" t="s">
        <v>482</v>
      </c>
      <c r="F224">
        <v>1</v>
      </c>
      <c r="G224" t="s">
        <v>497</v>
      </c>
      <c r="H224" t="s">
        <v>501</v>
      </c>
      <c r="I224" t="s">
        <v>485</v>
      </c>
      <c r="O224">
        <v>1</v>
      </c>
      <c r="P224">
        <v>1</v>
      </c>
      <c r="Q224">
        <v>1</v>
      </c>
      <c r="T224">
        <v>2</v>
      </c>
      <c r="U224">
        <f t="shared" si="25"/>
        <v>4</v>
      </c>
      <c r="V224">
        <f t="shared" si="26"/>
        <v>5</v>
      </c>
      <c r="W224" s="4">
        <f t="shared" si="23"/>
        <v>1.25</v>
      </c>
      <c r="X224" s="4">
        <f t="shared" si="24"/>
        <v>62.5</v>
      </c>
      <c r="Z224">
        <f t="shared" si="27"/>
        <v>324</v>
      </c>
      <c r="AA224">
        <f>IF(X224&lt;50,1,0)</f>
        <v>0</v>
      </c>
    </row>
    <row r="225" spans="1:27" x14ac:dyDescent="0.2">
      <c r="A225">
        <v>1</v>
      </c>
      <c r="B225" t="s">
        <v>129</v>
      </c>
      <c r="C225">
        <v>8</v>
      </c>
      <c r="D225" t="s">
        <v>146</v>
      </c>
      <c r="E225" t="s">
        <v>482</v>
      </c>
      <c r="F225">
        <v>1</v>
      </c>
      <c r="G225" t="s">
        <v>502</v>
      </c>
      <c r="H225" t="s">
        <v>503</v>
      </c>
      <c r="I225" t="s">
        <v>485</v>
      </c>
      <c r="O225">
        <v>1</v>
      </c>
      <c r="P225">
        <v>1</v>
      </c>
      <c r="Q225">
        <v>1</v>
      </c>
      <c r="T225">
        <v>1</v>
      </c>
      <c r="U225">
        <f t="shared" si="25"/>
        <v>4</v>
      </c>
      <c r="V225">
        <f t="shared" si="26"/>
        <v>4</v>
      </c>
      <c r="W225" s="4">
        <f t="shared" si="23"/>
        <v>1</v>
      </c>
      <c r="X225" s="4">
        <f t="shared" si="24"/>
        <v>50</v>
      </c>
      <c r="Y225" t="s">
        <v>486</v>
      </c>
      <c r="Z225">
        <f t="shared" si="27"/>
        <v>227</v>
      </c>
      <c r="AA225">
        <f t="shared" ref="AA225:AA246" si="29">IF(X225&lt;50,1,0)</f>
        <v>0</v>
      </c>
    </row>
    <row r="226" spans="1:27" x14ac:dyDescent="0.2">
      <c r="A226">
        <v>2</v>
      </c>
      <c r="B226" t="s">
        <v>129</v>
      </c>
      <c r="C226">
        <v>8</v>
      </c>
      <c r="D226" t="s">
        <v>146</v>
      </c>
      <c r="E226" t="s">
        <v>482</v>
      </c>
      <c r="F226">
        <v>1</v>
      </c>
      <c r="G226" t="s">
        <v>502</v>
      </c>
      <c r="H226" t="s">
        <v>504</v>
      </c>
      <c r="I226" t="s">
        <v>485</v>
      </c>
      <c r="O226">
        <v>1</v>
      </c>
      <c r="P226">
        <v>1</v>
      </c>
      <c r="Q226">
        <v>1</v>
      </c>
      <c r="T226">
        <v>1</v>
      </c>
      <c r="U226">
        <f t="shared" si="25"/>
        <v>4</v>
      </c>
      <c r="V226">
        <f t="shared" si="26"/>
        <v>4</v>
      </c>
      <c r="W226" s="4">
        <f t="shared" si="23"/>
        <v>1</v>
      </c>
      <c r="X226" s="4">
        <f t="shared" si="24"/>
        <v>50</v>
      </c>
      <c r="Y226" t="s">
        <v>486</v>
      </c>
      <c r="Z226">
        <f t="shared" si="27"/>
        <v>269</v>
      </c>
      <c r="AA226">
        <f t="shared" si="29"/>
        <v>0</v>
      </c>
    </row>
    <row r="227" spans="1:27" x14ac:dyDescent="0.2">
      <c r="A227">
        <v>3</v>
      </c>
      <c r="B227" t="s">
        <v>129</v>
      </c>
      <c r="C227">
        <v>8</v>
      </c>
      <c r="D227" t="s">
        <v>146</v>
      </c>
      <c r="E227" t="s">
        <v>482</v>
      </c>
      <c r="F227">
        <v>1</v>
      </c>
      <c r="G227" t="s">
        <v>502</v>
      </c>
      <c r="H227" t="s">
        <v>505</v>
      </c>
      <c r="I227" t="s">
        <v>485</v>
      </c>
      <c r="O227">
        <v>1</v>
      </c>
      <c r="P227">
        <v>1</v>
      </c>
      <c r="Q227">
        <v>1</v>
      </c>
      <c r="T227">
        <v>1</v>
      </c>
      <c r="U227">
        <f t="shared" si="25"/>
        <v>4</v>
      </c>
      <c r="V227">
        <f t="shared" si="26"/>
        <v>4</v>
      </c>
      <c r="W227" s="4">
        <f t="shared" si="23"/>
        <v>1</v>
      </c>
      <c r="X227" s="4">
        <f t="shared" si="24"/>
        <v>50</v>
      </c>
      <c r="Y227" t="s">
        <v>486</v>
      </c>
      <c r="Z227">
        <f t="shared" si="27"/>
        <v>338</v>
      </c>
      <c r="AA227">
        <f t="shared" si="29"/>
        <v>0</v>
      </c>
    </row>
    <row r="228" spans="1:27" x14ac:dyDescent="0.2">
      <c r="A228">
        <v>1</v>
      </c>
      <c r="B228" t="s">
        <v>129</v>
      </c>
      <c r="C228">
        <v>8</v>
      </c>
      <c r="D228" t="s">
        <v>146</v>
      </c>
      <c r="E228" t="s">
        <v>482</v>
      </c>
      <c r="F228">
        <v>1</v>
      </c>
      <c r="G228" t="s">
        <v>506</v>
      </c>
      <c r="H228" t="s">
        <v>507</v>
      </c>
      <c r="I228" t="s">
        <v>485</v>
      </c>
      <c r="O228">
        <v>1</v>
      </c>
      <c r="P228">
        <v>1</v>
      </c>
      <c r="Q228">
        <v>1</v>
      </c>
      <c r="T228">
        <v>1</v>
      </c>
      <c r="U228">
        <f t="shared" si="25"/>
        <v>4</v>
      </c>
      <c r="V228">
        <f t="shared" si="26"/>
        <v>4</v>
      </c>
      <c r="W228" s="4">
        <f t="shared" si="23"/>
        <v>1</v>
      </c>
      <c r="X228" s="4">
        <f t="shared" si="24"/>
        <v>50</v>
      </c>
      <c r="Y228" t="s">
        <v>486</v>
      </c>
      <c r="Z228">
        <f t="shared" si="27"/>
        <v>189</v>
      </c>
      <c r="AA228">
        <f t="shared" si="29"/>
        <v>0</v>
      </c>
    </row>
    <row r="229" spans="1:27" x14ac:dyDescent="0.2">
      <c r="A229">
        <v>2</v>
      </c>
      <c r="B229" t="s">
        <v>129</v>
      </c>
      <c r="C229">
        <v>8</v>
      </c>
      <c r="D229" t="s">
        <v>146</v>
      </c>
      <c r="E229" t="s">
        <v>482</v>
      </c>
      <c r="F229">
        <v>1</v>
      </c>
      <c r="G229" t="s">
        <v>506</v>
      </c>
      <c r="H229" t="s">
        <v>508</v>
      </c>
      <c r="I229" t="s">
        <v>485</v>
      </c>
      <c r="O229">
        <v>1</v>
      </c>
      <c r="P229">
        <v>1</v>
      </c>
      <c r="Q229">
        <v>1</v>
      </c>
      <c r="T229">
        <v>1</v>
      </c>
      <c r="U229">
        <f t="shared" si="25"/>
        <v>4</v>
      </c>
      <c r="V229">
        <f t="shared" si="26"/>
        <v>4</v>
      </c>
      <c r="W229" s="4">
        <f t="shared" si="23"/>
        <v>1</v>
      </c>
      <c r="X229" s="4">
        <f t="shared" si="24"/>
        <v>50</v>
      </c>
      <c r="Y229" t="s">
        <v>486</v>
      </c>
      <c r="Z229">
        <f t="shared" si="27"/>
        <v>270</v>
      </c>
      <c r="AA229">
        <f t="shared" si="29"/>
        <v>0</v>
      </c>
    </row>
    <row r="230" spans="1:27" x14ac:dyDescent="0.2">
      <c r="A230">
        <v>3</v>
      </c>
      <c r="B230" t="s">
        <v>129</v>
      </c>
      <c r="C230">
        <v>8</v>
      </c>
      <c r="D230" t="s">
        <v>146</v>
      </c>
      <c r="E230" t="s">
        <v>482</v>
      </c>
      <c r="F230">
        <v>1</v>
      </c>
      <c r="G230" t="s">
        <v>506</v>
      </c>
      <c r="H230" t="s">
        <v>509</v>
      </c>
      <c r="I230" t="s">
        <v>485</v>
      </c>
      <c r="O230">
        <v>1</v>
      </c>
      <c r="P230">
        <v>1</v>
      </c>
      <c r="Q230">
        <v>1</v>
      </c>
      <c r="T230">
        <v>1</v>
      </c>
      <c r="U230">
        <f t="shared" si="25"/>
        <v>4</v>
      </c>
      <c r="V230">
        <f t="shared" si="26"/>
        <v>4</v>
      </c>
      <c r="W230" s="4">
        <f t="shared" si="23"/>
        <v>1</v>
      </c>
      <c r="X230" s="4">
        <f t="shared" si="24"/>
        <v>50</v>
      </c>
      <c r="Y230" t="s">
        <v>486</v>
      </c>
      <c r="Z230">
        <f t="shared" si="27"/>
        <v>294</v>
      </c>
      <c r="AA230">
        <f t="shared" si="29"/>
        <v>0</v>
      </c>
    </row>
    <row r="231" spans="1:27" x14ac:dyDescent="0.2">
      <c r="A231">
        <v>1</v>
      </c>
      <c r="B231" t="s">
        <v>129</v>
      </c>
      <c r="C231">
        <v>8</v>
      </c>
      <c r="D231" t="s">
        <v>146</v>
      </c>
      <c r="E231" t="s">
        <v>482</v>
      </c>
      <c r="F231">
        <v>1</v>
      </c>
      <c r="G231" t="s">
        <v>510</v>
      </c>
      <c r="H231" t="s">
        <v>511</v>
      </c>
      <c r="I231" t="s">
        <v>485</v>
      </c>
      <c r="O231">
        <v>1</v>
      </c>
      <c r="P231">
        <v>1</v>
      </c>
      <c r="Q231">
        <v>1</v>
      </c>
      <c r="T231">
        <v>1</v>
      </c>
      <c r="U231">
        <f t="shared" si="25"/>
        <v>4</v>
      </c>
      <c r="V231">
        <f t="shared" si="26"/>
        <v>4</v>
      </c>
      <c r="W231" s="4">
        <f t="shared" si="23"/>
        <v>1</v>
      </c>
      <c r="X231" s="4">
        <f t="shared" si="24"/>
        <v>50</v>
      </c>
      <c r="Y231" t="s">
        <v>486</v>
      </c>
      <c r="Z231">
        <f t="shared" si="27"/>
        <v>145</v>
      </c>
      <c r="AA231">
        <f t="shared" si="29"/>
        <v>0</v>
      </c>
    </row>
    <row r="232" spans="1:27" x14ac:dyDescent="0.2">
      <c r="A232">
        <v>2</v>
      </c>
      <c r="B232" t="s">
        <v>129</v>
      </c>
      <c r="C232">
        <v>8</v>
      </c>
      <c r="D232" t="s">
        <v>146</v>
      </c>
      <c r="E232" t="s">
        <v>482</v>
      </c>
      <c r="F232">
        <v>1</v>
      </c>
      <c r="G232" t="s">
        <v>510</v>
      </c>
      <c r="H232" t="s">
        <v>512</v>
      </c>
      <c r="I232" t="s">
        <v>485</v>
      </c>
      <c r="O232">
        <v>1</v>
      </c>
      <c r="P232">
        <v>1</v>
      </c>
      <c r="Q232">
        <v>1</v>
      </c>
      <c r="T232">
        <v>1</v>
      </c>
      <c r="U232">
        <f t="shared" si="25"/>
        <v>4</v>
      </c>
      <c r="V232">
        <f t="shared" si="26"/>
        <v>4</v>
      </c>
      <c r="W232" s="4">
        <f t="shared" si="23"/>
        <v>1</v>
      </c>
      <c r="X232" s="4">
        <f t="shared" si="24"/>
        <v>50</v>
      </c>
      <c r="Y232" t="s">
        <v>486</v>
      </c>
      <c r="Z232">
        <f t="shared" si="27"/>
        <v>338</v>
      </c>
      <c r="AA232">
        <f t="shared" si="29"/>
        <v>0</v>
      </c>
    </row>
    <row r="233" spans="1:27" x14ac:dyDescent="0.2">
      <c r="A233">
        <v>3</v>
      </c>
      <c r="B233" t="s">
        <v>129</v>
      </c>
      <c r="C233">
        <v>8</v>
      </c>
      <c r="D233" t="s">
        <v>146</v>
      </c>
      <c r="E233" t="s">
        <v>482</v>
      </c>
      <c r="F233">
        <v>1</v>
      </c>
      <c r="G233" t="s">
        <v>510</v>
      </c>
      <c r="H233" t="s">
        <v>513</v>
      </c>
      <c r="I233" t="s">
        <v>485</v>
      </c>
      <c r="O233">
        <v>1</v>
      </c>
      <c r="P233">
        <v>1</v>
      </c>
      <c r="Q233">
        <v>1</v>
      </c>
      <c r="T233">
        <v>1</v>
      </c>
      <c r="U233">
        <f t="shared" si="25"/>
        <v>4</v>
      </c>
      <c r="V233">
        <f t="shared" si="26"/>
        <v>4</v>
      </c>
      <c r="W233" s="4">
        <f t="shared" si="23"/>
        <v>1</v>
      </c>
      <c r="X233" s="4">
        <f t="shared" si="24"/>
        <v>50</v>
      </c>
      <c r="Y233" t="s">
        <v>486</v>
      </c>
      <c r="Z233">
        <f t="shared" si="27"/>
        <v>258</v>
      </c>
      <c r="AA233">
        <f t="shared" si="29"/>
        <v>0</v>
      </c>
    </row>
    <row r="234" spans="1:27" x14ac:dyDescent="0.2">
      <c r="A234">
        <v>1</v>
      </c>
      <c r="B234" t="s">
        <v>129</v>
      </c>
      <c r="C234">
        <v>8</v>
      </c>
      <c r="D234" t="s">
        <v>146</v>
      </c>
      <c r="E234" t="s">
        <v>482</v>
      </c>
      <c r="F234">
        <v>1</v>
      </c>
      <c r="G234" t="s">
        <v>514</v>
      </c>
      <c r="H234" t="s">
        <v>515</v>
      </c>
      <c r="I234" t="s">
        <v>485</v>
      </c>
      <c r="O234">
        <v>2</v>
      </c>
      <c r="P234">
        <v>2</v>
      </c>
      <c r="Q234">
        <v>2</v>
      </c>
      <c r="T234">
        <v>1</v>
      </c>
      <c r="U234">
        <f t="shared" si="25"/>
        <v>4</v>
      </c>
      <c r="V234">
        <f t="shared" si="26"/>
        <v>7</v>
      </c>
      <c r="W234" s="4">
        <f t="shared" si="23"/>
        <v>1.75</v>
      </c>
      <c r="X234" s="4">
        <f t="shared" si="24"/>
        <v>87.5</v>
      </c>
      <c r="Y234" t="s">
        <v>516</v>
      </c>
      <c r="Z234">
        <f t="shared" si="27"/>
        <v>186</v>
      </c>
      <c r="AA234">
        <f t="shared" si="29"/>
        <v>0</v>
      </c>
    </row>
    <row r="235" spans="1:27" x14ac:dyDescent="0.2">
      <c r="A235">
        <v>2</v>
      </c>
      <c r="B235" t="s">
        <v>129</v>
      </c>
      <c r="C235">
        <v>8</v>
      </c>
      <c r="D235" t="s">
        <v>146</v>
      </c>
      <c r="E235" t="s">
        <v>482</v>
      </c>
      <c r="F235">
        <v>1</v>
      </c>
      <c r="G235" t="s">
        <v>514</v>
      </c>
      <c r="H235" t="s">
        <v>517</v>
      </c>
      <c r="I235" t="s">
        <v>485</v>
      </c>
      <c r="O235">
        <v>1</v>
      </c>
      <c r="P235">
        <v>1</v>
      </c>
      <c r="Q235">
        <v>1</v>
      </c>
      <c r="T235">
        <v>1</v>
      </c>
      <c r="U235">
        <f t="shared" si="25"/>
        <v>4</v>
      </c>
      <c r="V235">
        <f t="shared" si="26"/>
        <v>4</v>
      </c>
      <c r="W235" s="4">
        <f t="shared" si="23"/>
        <v>1</v>
      </c>
      <c r="X235" s="4">
        <f t="shared" si="24"/>
        <v>50</v>
      </c>
      <c r="Z235">
        <f t="shared" si="27"/>
        <v>292</v>
      </c>
      <c r="AA235">
        <f t="shared" si="29"/>
        <v>0</v>
      </c>
    </row>
    <row r="236" spans="1:27" x14ac:dyDescent="0.2">
      <c r="A236">
        <v>3</v>
      </c>
      <c r="B236" t="s">
        <v>129</v>
      </c>
      <c r="C236">
        <v>8</v>
      </c>
      <c r="D236" t="s">
        <v>146</v>
      </c>
      <c r="E236" t="s">
        <v>482</v>
      </c>
      <c r="F236">
        <v>1</v>
      </c>
      <c r="G236" t="s">
        <v>514</v>
      </c>
      <c r="H236" t="s">
        <v>518</v>
      </c>
      <c r="I236" t="s">
        <v>485</v>
      </c>
      <c r="O236">
        <v>1</v>
      </c>
      <c r="P236">
        <v>1</v>
      </c>
      <c r="Q236">
        <v>1</v>
      </c>
      <c r="T236">
        <v>1</v>
      </c>
      <c r="U236">
        <f t="shared" si="25"/>
        <v>4</v>
      </c>
      <c r="V236">
        <f t="shared" si="26"/>
        <v>4</v>
      </c>
      <c r="W236" s="4">
        <f t="shared" si="23"/>
        <v>1</v>
      </c>
      <c r="X236" s="4">
        <f t="shared" si="24"/>
        <v>50</v>
      </c>
      <c r="Z236">
        <f t="shared" si="27"/>
        <v>355</v>
      </c>
      <c r="AA236">
        <f t="shared" si="29"/>
        <v>0</v>
      </c>
    </row>
    <row r="237" spans="1:27" x14ac:dyDescent="0.2">
      <c r="A237">
        <v>1</v>
      </c>
      <c r="B237" t="s">
        <v>129</v>
      </c>
      <c r="C237">
        <v>8</v>
      </c>
      <c r="D237" t="s">
        <v>146</v>
      </c>
      <c r="E237" t="s">
        <v>482</v>
      </c>
      <c r="F237">
        <v>1</v>
      </c>
      <c r="G237" t="s">
        <v>519</v>
      </c>
      <c r="H237" t="s">
        <v>520</v>
      </c>
      <c r="I237" t="s">
        <v>485</v>
      </c>
      <c r="O237">
        <v>1</v>
      </c>
      <c r="P237">
        <v>1</v>
      </c>
      <c r="Q237">
        <v>1</v>
      </c>
      <c r="T237">
        <v>1</v>
      </c>
      <c r="U237">
        <f t="shared" si="25"/>
        <v>4</v>
      </c>
      <c r="V237">
        <f t="shared" si="26"/>
        <v>4</v>
      </c>
      <c r="W237" s="4">
        <f t="shared" si="23"/>
        <v>1</v>
      </c>
      <c r="X237" s="4">
        <f t="shared" si="24"/>
        <v>50</v>
      </c>
      <c r="Y237" t="s">
        <v>521</v>
      </c>
      <c r="Z237">
        <f t="shared" si="27"/>
        <v>186</v>
      </c>
      <c r="AA237">
        <f t="shared" si="29"/>
        <v>0</v>
      </c>
    </row>
    <row r="238" spans="1:27" x14ac:dyDescent="0.2">
      <c r="A238">
        <v>2</v>
      </c>
      <c r="B238" t="s">
        <v>129</v>
      </c>
      <c r="C238">
        <v>8</v>
      </c>
      <c r="D238" t="s">
        <v>146</v>
      </c>
      <c r="E238" t="s">
        <v>482</v>
      </c>
      <c r="F238">
        <v>1</v>
      </c>
      <c r="G238" t="s">
        <v>519</v>
      </c>
      <c r="H238" t="s">
        <v>522</v>
      </c>
      <c r="I238" t="s">
        <v>485</v>
      </c>
      <c r="O238">
        <v>1</v>
      </c>
      <c r="P238">
        <v>1</v>
      </c>
      <c r="Q238">
        <v>1</v>
      </c>
      <c r="T238">
        <v>1</v>
      </c>
      <c r="U238">
        <f t="shared" si="25"/>
        <v>4</v>
      </c>
      <c r="V238">
        <f t="shared" si="26"/>
        <v>4</v>
      </c>
      <c r="W238" s="4">
        <f t="shared" si="23"/>
        <v>1</v>
      </c>
      <c r="X238" s="4">
        <f t="shared" si="24"/>
        <v>50</v>
      </c>
      <c r="Y238" t="s">
        <v>521</v>
      </c>
      <c r="Z238">
        <f t="shared" si="27"/>
        <v>254</v>
      </c>
      <c r="AA238">
        <f t="shared" si="29"/>
        <v>0</v>
      </c>
    </row>
    <row r="239" spans="1:27" x14ac:dyDescent="0.2">
      <c r="A239">
        <v>3</v>
      </c>
      <c r="B239" t="s">
        <v>129</v>
      </c>
      <c r="C239">
        <v>8</v>
      </c>
      <c r="D239" t="s">
        <v>146</v>
      </c>
      <c r="E239" t="s">
        <v>482</v>
      </c>
      <c r="F239">
        <v>1</v>
      </c>
      <c r="G239" t="s">
        <v>519</v>
      </c>
      <c r="H239" t="s">
        <v>523</v>
      </c>
      <c r="I239" t="s">
        <v>485</v>
      </c>
      <c r="O239">
        <v>1</v>
      </c>
      <c r="P239">
        <v>1</v>
      </c>
      <c r="Q239">
        <v>1</v>
      </c>
      <c r="T239">
        <v>1</v>
      </c>
      <c r="U239">
        <f t="shared" si="25"/>
        <v>4</v>
      </c>
      <c r="V239">
        <f t="shared" si="26"/>
        <v>4</v>
      </c>
      <c r="W239" s="4">
        <f t="shared" si="23"/>
        <v>1</v>
      </c>
      <c r="X239" s="4">
        <f t="shared" si="24"/>
        <v>50</v>
      </c>
      <c r="Y239" t="s">
        <v>521</v>
      </c>
      <c r="Z239">
        <f t="shared" si="27"/>
        <v>328</v>
      </c>
      <c r="AA239">
        <f t="shared" si="29"/>
        <v>0</v>
      </c>
    </row>
    <row r="240" spans="1:27" x14ac:dyDescent="0.2">
      <c r="A240">
        <v>1</v>
      </c>
      <c r="B240" t="s">
        <v>129</v>
      </c>
      <c r="C240">
        <v>8</v>
      </c>
      <c r="D240" t="s">
        <v>146</v>
      </c>
      <c r="E240" t="s">
        <v>482</v>
      </c>
      <c r="F240">
        <v>1</v>
      </c>
      <c r="G240" t="s">
        <v>524</v>
      </c>
      <c r="H240" t="s">
        <v>525</v>
      </c>
      <c r="I240" t="s">
        <v>485</v>
      </c>
      <c r="O240">
        <v>1</v>
      </c>
      <c r="P240">
        <v>1</v>
      </c>
      <c r="Q240">
        <v>1</v>
      </c>
      <c r="T240">
        <v>1</v>
      </c>
      <c r="U240">
        <f t="shared" si="25"/>
        <v>4</v>
      </c>
      <c r="V240">
        <f t="shared" si="26"/>
        <v>4</v>
      </c>
      <c r="W240" s="4">
        <f t="shared" si="23"/>
        <v>1</v>
      </c>
      <c r="X240" s="4">
        <f t="shared" si="24"/>
        <v>50</v>
      </c>
      <c r="Z240">
        <f t="shared" si="27"/>
        <v>205</v>
      </c>
      <c r="AA240">
        <f t="shared" si="29"/>
        <v>0</v>
      </c>
    </row>
    <row r="241" spans="1:27" x14ac:dyDescent="0.2">
      <c r="A241">
        <v>2</v>
      </c>
      <c r="B241" t="s">
        <v>129</v>
      </c>
      <c r="C241">
        <v>8</v>
      </c>
      <c r="D241" t="s">
        <v>146</v>
      </c>
      <c r="E241" t="s">
        <v>482</v>
      </c>
      <c r="F241">
        <v>1</v>
      </c>
      <c r="G241" t="s">
        <v>524</v>
      </c>
      <c r="H241" t="s">
        <v>526</v>
      </c>
      <c r="I241" t="s">
        <v>485</v>
      </c>
      <c r="O241">
        <v>1</v>
      </c>
      <c r="P241">
        <v>1</v>
      </c>
      <c r="Q241">
        <v>1</v>
      </c>
      <c r="T241">
        <v>1</v>
      </c>
      <c r="U241">
        <f t="shared" si="25"/>
        <v>4</v>
      </c>
      <c r="V241">
        <f t="shared" si="26"/>
        <v>4</v>
      </c>
      <c r="W241" s="4">
        <f t="shared" si="23"/>
        <v>1</v>
      </c>
      <c r="X241" s="4">
        <f t="shared" si="24"/>
        <v>50</v>
      </c>
      <c r="Z241">
        <f t="shared" si="27"/>
        <v>355</v>
      </c>
      <c r="AA241">
        <f t="shared" si="29"/>
        <v>0</v>
      </c>
    </row>
    <row r="242" spans="1:27" x14ac:dyDescent="0.2">
      <c r="A242">
        <v>3</v>
      </c>
      <c r="B242" t="s">
        <v>129</v>
      </c>
      <c r="C242">
        <v>8</v>
      </c>
      <c r="D242" t="s">
        <v>146</v>
      </c>
      <c r="E242" t="s">
        <v>482</v>
      </c>
      <c r="F242">
        <v>1</v>
      </c>
      <c r="G242" t="s">
        <v>524</v>
      </c>
      <c r="H242" t="s">
        <v>527</v>
      </c>
      <c r="I242" t="s">
        <v>485</v>
      </c>
      <c r="O242">
        <v>1</v>
      </c>
      <c r="P242">
        <v>1</v>
      </c>
      <c r="Q242">
        <v>1</v>
      </c>
      <c r="T242">
        <v>1</v>
      </c>
      <c r="U242">
        <f t="shared" si="25"/>
        <v>4</v>
      </c>
      <c r="V242">
        <f t="shared" si="26"/>
        <v>4</v>
      </c>
      <c r="W242" s="4">
        <f t="shared" si="23"/>
        <v>1</v>
      </c>
      <c r="X242" s="4">
        <f t="shared" si="24"/>
        <v>50</v>
      </c>
      <c r="Z242">
        <f t="shared" si="27"/>
        <v>283</v>
      </c>
      <c r="AA242">
        <f t="shared" si="29"/>
        <v>0</v>
      </c>
    </row>
    <row r="243" spans="1:27" x14ac:dyDescent="0.2">
      <c r="A243">
        <v>1</v>
      </c>
      <c r="B243" t="s">
        <v>129</v>
      </c>
      <c r="C243">
        <v>8</v>
      </c>
      <c r="D243" t="s">
        <v>146</v>
      </c>
      <c r="E243" t="s">
        <v>482</v>
      </c>
      <c r="F243">
        <v>1</v>
      </c>
      <c r="G243" t="s">
        <v>528</v>
      </c>
      <c r="H243" t="s">
        <v>529</v>
      </c>
      <c r="I243" t="s">
        <v>485</v>
      </c>
      <c r="O243">
        <v>1</v>
      </c>
      <c r="P243">
        <v>1</v>
      </c>
      <c r="Q243">
        <v>1</v>
      </c>
      <c r="T243">
        <v>2</v>
      </c>
      <c r="U243">
        <f t="shared" si="25"/>
        <v>4</v>
      </c>
      <c r="V243">
        <f t="shared" si="26"/>
        <v>5</v>
      </c>
      <c r="W243" s="4">
        <f t="shared" si="23"/>
        <v>1.25</v>
      </c>
      <c r="X243" s="4">
        <f t="shared" si="24"/>
        <v>62.5</v>
      </c>
      <c r="Z243">
        <f t="shared" si="27"/>
        <v>226</v>
      </c>
      <c r="AA243">
        <f t="shared" si="29"/>
        <v>0</v>
      </c>
    </row>
    <row r="244" spans="1:27" x14ac:dyDescent="0.2">
      <c r="A244">
        <v>2</v>
      </c>
      <c r="B244" t="s">
        <v>129</v>
      </c>
      <c r="C244">
        <v>8</v>
      </c>
      <c r="D244" t="s">
        <v>146</v>
      </c>
      <c r="E244" t="s">
        <v>482</v>
      </c>
      <c r="F244">
        <v>1</v>
      </c>
      <c r="G244" t="s">
        <v>528</v>
      </c>
      <c r="H244" t="s">
        <v>530</v>
      </c>
      <c r="I244" t="s">
        <v>485</v>
      </c>
      <c r="O244">
        <v>1</v>
      </c>
      <c r="P244">
        <v>1</v>
      </c>
      <c r="Q244">
        <v>1</v>
      </c>
      <c r="T244">
        <v>2</v>
      </c>
      <c r="U244">
        <f t="shared" si="25"/>
        <v>4</v>
      </c>
      <c r="V244">
        <f t="shared" si="26"/>
        <v>5</v>
      </c>
      <c r="W244" s="4">
        <f t="shared" si="23"/>
        <v>1.25</v>
      </c>
      <c r="X244" s="4">
        <f t="shared" si="24"/>
        <v>62.5</v>
      </c>
      <c r="Z244">
        <f t="shared" si="27"/>
        <v>274</v>
      </c>
      <c r="AA244">
        <f t="shared" si="29"/>
        <v>0</v>
      </c>
    </row>
    <row r="245" spans="1:27" x14ac:dyDescent="0.2">
      <c r="A245">
        <v>3</v>
      </c>
      <c r="B245" t="s">
        <v>129</v>
      </c>
      <c r="C245">
        <v>8</v>
      </c>
      <c r="D245" t="s">
        <v>146</v>
      </c>
      <c r="E245" t="s">
        <v>482</v>
      </c>
      <c r="F245">
        <v>1</v>
      </c>
      <c r="G245" t="s">
        <v>528</v>
      </c>
      <c r="H245" t="s">
        <v>531</v>
      </c>
      <c r="I245" t="s">
        <v>485</v>
      </c>
      <c r="O245">
        <v>1</v>
      </c>
      <c r="P245">
        <v>1</v>
      </c>
      <c r="Q245">
        <v>1</v>
      </c>
      <c r="T245">
        <v>2</v>
      </c>
      <c r="U245">
        <f t="shared" si="25"/>
        <v>4</v>
      </c>
      <c r="V245">
        <f t="shared" si="26"/>
        <v>5</v>
      </c>
      <c r="W245" s="4">
        <f t="shared" si="23"/>
        <v>1.25</v>
      </c>
      <c r="X245" s="4">
        <f t="shared" si="24"/>
        <v>62.5</v>
      </c>
      <c r="Z245">
        <f t="shared" si="27"/>
        <v>299</v>
      </c>
      <c r="AA245">
        <f t="shared" si="29"/>
        <v>0</v>
      </c>
    </row>
    <row r="246" spans="1:27" x14ac:dyDescent="0.2">
      <c r="A246">
        <v>1</v>
      </c>
      <c r="B246" t="s">
        <v>129</v>
      </c>
      <c r="C246">
        <v>8</v>
      </c>
      <c r="D246" t="s">
        <v>146</v>
      </c>
      <c r="E246" t="s">
        <v>482</v>
      </c>
      <c r="F246">
        <v>1</v>
      </c>
      <c r="G246" t="s">
        <v>532</v>
      </c>
      <c r="H246" t="s">
        <v>533</v>
      </c>
      <c r="I246" t="s">
        <v>485</v>
      </c>
      <c r="O246">
        <v>1</v>
      </c>
      <c r="P246">
        <v>1</v>
      </c>
      <c r="Q246">
        <v>1</v>
      </c>
      <c r="T246">
        <v>1</v>
      </c>
      <c r="U246">
        <f t="shared" si="25"/>
        <v>4</v>
      </c>
      <c r="V246">
        <f t="shared" si="26"/>
        <v>4</v>
      </c>
      <c r="W246" s="4">
        <f t="shared" si="23"/>
        <v>1</v>
      </c>
      <c r="X246" s="4">
        <f t="shared" si="24"/>
        <v>50</v>
      </c>
      <c r="Z246">
        <f t="shared" si="27"/>
        <v>162</v>
      </c>
      <c r="AA246">
        <f t="shared" si="29"/>
        <v>0</v>
      </c>
    </row>
    <row r="247" spans="1:27" x14ac:dyDescent="0.2">
      <c r="A247">
        <v>2</v>
      </c>
      <c r="B247" t="s">
        <v>129</v>
      </c>
      <c r="C247">
        <v>8</v>
      </c>
      <c r="D247" t="s">
        <v>146</v>
      </c>
      <c r="E247" t="s">
        <v>482</v>
      </c>
      <c r="F247">
        <v>1</v>
      </c>
      <c r="G247" t="s">
        <v>532</v>
      </c>
      <c r="H247" t="s">
        <v>534</v>
      </c>
      <c r="I247" t="s">
        <v>485</v>
      </c>
      <c r="O247">
        <v>1</v>
      </c>
      <c r="P247">
        <v>1</v>
      </c>
      <c r="Q247">
        <v>1</v>
      </c>
      <c r="T247">
        <v>2</v>
      </c>
      <c r="U247">
        <f t="shared" si="25"/>
        <v>4</v>
      </c>
      <c r="V247">
        <f t="shared" si="26"/>
        <v>5</v>
      </c>
      <c r="W247" s="4">
        <f t="shared" si="23"/>
        <v>1.25</v>
      </c>
      <c r="X247" s="4">
        <f t="shared" si="24"/>
        <v>62.5</v>
      </c>
      <c r="Y247" t="s">
        <v>535</v>
      </c>
      <c r="Z247">
        <f t="shared" si="27"/>
        <v>349</v>
      </c>
      <c r="AA247">
        <f>IF(X247&lt;50,1,0)</f>
        <v>0</v>
      </c>
    </row>
    <row r="248" spans="1:27" x14ac:dyDescent="0.2">
      <c r="A248">
        <v>3</v>
      </c>
      <c r="B248" t="s">
        <v>129</v>
      </c>
      <c r="C248">
        <v>8</v>
      </c>
      <c r="D248" t="s">
        <v>146</v>
      </c>
      <c r="E248" t="s">
        <v>482</v>
      </c>
      <c r="F248">
        <v>1</v>
      </c>
      <c r="G248" t="s">
        <v>532</v>
      </c>
      <c r="H248" t="s">
        <v>536</v>
      </c>
      <c r="I248" t="s">
        <v>485</v>
      </c>
      <c r="O248">
        <v>1</v>
      </c>
      <c r="P248">
        <v>1</v>
      </c>
      <c r="Q248">
        <v>1</v>
      </c>
      <c r="T248">
        <v>2</v>
      </c>
      <c r="U248">
        <f t="shared" si="25"/>
        <v>4</v>
      </c>
      <c r="V248">
        <f t="shared" si="26"/>
        <v>5</v>
      </c>
      <c r="W248" s="4">
        <f t="shared" si="23"/>
        <v>1.25</v>
      </c>
      <c r="X248" s="4">
        <f t="shared" si="24"/>
        <v>62.5</v>
      </c>
      <c r="Z248">
        <f t="shared" si="27"/>
        <v>299</v>
      </c>
      <c r="AA248">
        <f t="shared" ref="AA248:AA273" si="30">IF(X248&lt;50,1,0)</f>
        <v>0</v>
      </c>
    </row>
    <row r="249" spans="1:27" x14ac:dyDescent="0.2">
      <c r="A249">
        <v>1</v>
      </c>
      <c r="B249" t="s">
        <v>129</v>
      </c>
      <c r="C249">
        <v>8</v>
      </c>
      <c r="D249" t="s">
        <v>146</v>
      </c>
      <c r="E249" t="s">
        <v>482</v>
      </c>
      <c r="F249">
        <v>1</v>
      </c>
      <c r="G249" t="s">
        <v>537</v>
      </c>
      <c r="H249" t="s">
        <v>538</v>
      </c>
      <c r="I249" t="s">
        <v>485</v>
      </c>
      <c r="O249">
        <v>1</v>
      </c>
      <c r="P249">
        <v>1</v>
      </c>
      <c r="Q249">
        <v>1</v>
      </c>
      <c r="T249">
        <v>0</v>
      </c>
      <c r="U249">
        <f t="shared" si="25"/>
        <v>4</v>
      </c>
      <c r="V249">
        <f t="shared" si="26"/>
        <v>3</v>
      </c>
      <c r="W249" s="4">
        <f t="shared" si="23"/>
        <v>0.75</v>
      </c>
      <c r="X249" s="4">
        <f t="shared" si="24"/>
        <v>37.5</v>
      </c>
      <c r="Y249" t="s">
        <v>539</v>
      </c>
      <c r="Z249">
        <f t="shared" si="27"/>
        <v>209</v>
      </c>
      <c r="AA249">
        <f t="shared" si="30"/>
        <v>1</v>
      </c>
    </row>
    <row r="250" spans="1:27" x14ac:dyDescent="0.2">
      <c r="A250">
        <v>2</v>
      </c>
      <c r="B250" t="s">
        <v>129</v>
      </c>
      <c r="C250">
        <v>8</v>
      </c>
      <c r="D250" t="s">
        <v>146</v>
      </c>
      <c r="E250" t="s">
        <v>482</v>
      </c>
      <c r="F250">
        <v>1</v>
      </c>
      <c r="G250" t="s">
        <v>537</v>
      </c>
      <c r="H250" t="s">
        <v>540</v>
      </c>
      <c r="I250" t="s">
        <v>485</v>
      </c>
      <c r="O250">
        <v>1</v>
      </c>
      <c r="P250">
        <v>1</v>
      </c>
      <c r="Q250">
        <v>1</v>
      </c>
      <c r="T250">
        <v>1</v>
      </c>
      <c r="U250">
        <f t="shared" si="25"/>
        <v>4</v>
      </c>
      <c r="V250">
        <f t="shared" si="26"/>
        <v>4</v>
      </c>
      <c r="W250" s="4">
        <f t="shared" si="23"/>
        <v>1</v>
      </c>
      <c r="X250" s="4">
        <f t="shared" si="24"/>
        <v>50</v>
      </c>
      <c r="Y250" t="s">
        <v>486</v>
      </c>
      <c r="Z250">
        <f t="shared" si="27"/>
        <v>289</v>
      </c>
      <c r="AA250">
        <f t="shared" si="30"/>
        <v>0</v>
      </c>
    </row>
    <row r="251" spans="1:27" x14ac:dyDescent="0.2">
      <c r="A251">
        <v>3</v>
      </c>
      <c r="B251" t="s">
        <v>129</v>
      </c>
      <c r="C251">
        <v>8</v>
      </c>
      <c r="D251" t="s">
        <v>146</v>
      </c>
      <c r="E251" t="s">
        <v>482</v>
      </c>
      <c r="F251">
        <v>1</v>
      </c>
      <c r="G251" t="s">
        <v>537</v>
      </c>
      <c r="H251" t="s">
        <v>541</v>
      </c>
      <c r="I251" t="s">
        <v>485</v>
      </c>
      <c r="O251">
        <v>1</v>
      </c>
      <c r="P251">
        <v>1</v>
      </c>
      <c r="Q251">
        <v>1</v>
      </c>
      <c r="T251">
        <v>1</v>
      </c>
      <c r="U251">
        <f t="shared" si="25"/>
        <v>4</v>
      </c>
      <c r="V251">
        <f t="shared" si="26"/>
        <v>4</v>
      </c>
      <c r="W251" s="4">
        <f t="shared" si="23"/>
        <v>1</v>
      </c>
      <c r="X251" s="4">
        <f t="shared" si="24"/>
        <v>50</v>
      </c>
      <c r="Y251" t="s">
        <v>486</v>
      </c>
      <c r="Z251">
        <f t="shared" si="27"/>
        <v>290</v>
      </c>
      <c r="AA251">
        <f t="shared" si="30"/>
        <v>0</v>
      </c>
    </row>
    <row r="252" spans="1:27" x14ac:dyDescent="0.2">
      <c r="A252">
        <v>1</v>
      </c>
      <c r="B252" t="s">
        <v>129</v>
      </c>
      <c r="C252">
        <v>8</v>
      </c>
      <c r="D252" t="s">
        <v>146</v>
      </c>
      <c r="E252" t="s">
        <v>482</v>
      </c>
      <c r="F252">
        <v>1</v>
      </c>
      <c r="G252" t="s">
        <v>542</v>
      </c>
      <c r="H252" t="s">
        <v>543</v>
      </c>
      <c r="I252" t="s">
        <v>485</v>
      </c>
      <c r="O252">
        <v>1</v>
      </c>
      <c r="P252">
        <v>1</v>
      </c>
      <c r="Q252">
        <v>1</v>
      </c>
      <c r="T252">
        <v>0</v>
      </c>
      <c r="U252">
        <f t="shared" si="25"/>
        <v>4</v>
      </c>
      <c r="V252">
        <f t="shared" si="26"/>
        <v>3</v>
      </c>
      <c r="W252" s="4">
        <f t="shared" si="23"/>
        <v>0.75</v>
      </c>
      <c r="X252" s="4">
        <f t="shared" si="24"/>
        <v>37.5</v>
      </c>
      <c r="Y252" t="s">
        <v>544</v>
      </c>
      <c r="Z252">
        <f t="shared" si="27"/>
        <v>199</v>
      </c>
      <c r="AA252">
        <f t="shared" si="30"/>
        <v>1</v>
      </c>
    </row>
    <row r="253" spans="1:27" x14ac:dyDescent="0.2">
      <c r="A253">
        <v>2</v>
      </c>
      <c r="B253" t="s">
        <v>129</v>
      </c>
      <c r="C253">
        <v>8</v>
      </c>
      <c r="D253" t="s">
        <v>146</v>
      </c>
      <c r="E253" t="s">
        <v>482</v>
      </c>
      <c r="F253">
        <v>1</v>
      </c>
      <c r="G253" t="s">
        <v>542</v>
      </c>
      <c r="H253" t="s">
        <v>545</v>
      </c>
      <c r="I253" t="s">
        <v>485</v>
      </c>
      <c r="O253">
        <v>1</v>
      </c>
      <c r="P253">
        <v>1</v>
      </c>
      <c r="Q253">
        <v>1</v>
      </c>
      <c r="T253">
        <v>1</v>
      </c>
      <c r="U253">
        <f t="shared" si="25"/>
        <v>4</v>
      </c>
      <c r="V253">
        <f t="shared" si="26"/>
        <v>4</v>
      </c>
      <c r="W253" s="4">
        <f t="shared" si="23"/>
        <v>1</v>
      </c>
      <c r="X253" s="4">
        <f t="shared" si="24"/>
        <v>50</v>
      </c>
      <c r="Z253">
        <f t="shared" si="27"/>
        <v>284</v>
      </c>
      <c r="AA253">
        <f t="shared" si="30"/>
        <v>0</v>
      </c>
    </row>
    <row r="254" spans="1:27" x14ac:dyDescent="0.2">
      <c r="A254">
        <v>3</v>
      </c>
      <c r="B254" t="s">
        <v>129</v>
      </c>
      <c r="C254">
        <v>8</v>
      </c>
      <c r="D254" t="s">
        <v>146</v>
      </c>
      <c r="E254" t="s">
        <v>482</v>
      </c>
      <c r="F254">
        <v>1</v>
      </c>
      <c r="G254" t="s">
        <v>542</v>
      </c>
      <c r="H254" t="s">
        <v>546</v>
      </c>
      <c r="I254" t="s">
        <v>485</v>
      </c>
      <c r="O254">
        <v>2</v>
      </c>
      <c r="P254">
        <v>2</v>
      </c>
      <c r="Q254">
        <v>2</v>
      </c>
      <c r="T254">
        <v>1</v>
      </c>
      <c r="U254">
        <f t="shared" si="25"/>
        <v>4</v>
      </c>
      <c r="V254">
        <f t="shared" si="26"/>
        <v>7</v>
      </c>
      <c r="W254" s="4">
        <f t="shared" si="23"/>
        <v>1.75</v>
      </c>
      <c r="X254" s="4">
        <f t="shared" si="24"/>
        <v>87.5</v>
      </c>
      <c r="Y254" t="s">
        <v>547</v>
      </c>
      <c r="Z254">
        <f t="shared" si="27"/>
        <v>284</v>
      </c>
      <c r="AA254">
        <f t="shared" si="30"/>
        <v>0</v>
      </c>
    </row>
    <row r="255" spans="1:27" x14ac:dyDescent="0.2">
      <c r="A255">
        <v>1</v>
      </c>
      <c r="B255" t="s">
        <v>129</v>
      </c>
      <c r="C255">
        <v>8</v>
      </c>
      <c r="D255" t="s">
        <v>146</v>
      </c>
      <c r="E255" t="s">
        <v>482</v>
      </c>
      <c r="F255">
        <v>1</v>
      </c>
      <c r="G255" t="s">
        <v>548</v>
      </c>
      <c r="H255" t="s">
        <v>549</v>
      </c>
      <c r="I255" t="s">
        <v>485</v>
      </c>
      <c r="O255">
        <v>1</v>
      </c>
      <c r="P255">
        <v>1</v>
      </c>
      <c r="Q255">
        <v>1</v>
      </c>
      <c r="T255">
        <v>0</v>
      </c>
      <c r="U255">
        <f t="shared" si="25"/>
        <v>4</v>
      </c>
      <c r="V255">
        <f t="shared" si="26"/>
        <v>3</v>
      </c>
      <c r="W255" s="4">
        <f t="shared" si="23"/>
        <v>0.75</v>
      </c>
      <c r="X255" s="4">
        <f t="shared" si="24"/>
        <v>37.5</v>
      </c>
      <c r="Y255" t="s">
        <v>544</v>
      </c>
      <c r="Z255">
        <f t="shared" si="27"/>
        <v>192</v>
      </c>
      <c r="AA255">
        <f t="shared" si="30"/>
        <v>1</v>
      </c>
    </row>
    <row r="256" spans="1:27" x14ac:dyDescent="0.2">
      <c r="A256">
        <v>2</v>
      </c>
      <c r="B256" t="s">
        <v>129</v>
      </c>
      <c r="C256">
        <v>8</v>
      </c>
      <c r="D256" t="s">
        <v>146</v>
      </c>
      <c r="E256" t="s">
        <v>482</v>
      </c>
      <c r="F256">
        <v>1</v>
      </c>
      <c r="G256" t="s">
        <v>548</v>
      </c>
      <c r="H256" t="s">
        <v>550</v>
      </c>
      <c r="I256" t="s">
        <v>485</v>
      </c>
      <c r="O256">
        <v>1</v>
      </c>
      <c r="P256">
        <v>1</v>
      </c>
      <c r="Q256">
        <v>1</v>
      </c>
      <c r="T256">
        <v>1</v>
      </c>
      <c r="U256">
        <f t="shared" si="25"/>
        <v>4</v>
      </c>
      <c r="V256">
        <f t="shared" si="26"/>
        <v>4</v>
      </c>
      <c r="W256" s="4">
        <f t="shared" si="23"/>
        <v>1</v>
      </c>
      <c r="X256" s="4">
        <f t="shared" si="24"/>
        <v>50</v>
      </c>
      <c r="Z256">
        <f t="shared" si="27"/>
        <v>347</v>
      </c>
      <c r="AA256">
        <f t="shared" si="30"/>
        <v>0</v>
      </c>
    </row>
    <row r="257" spans="1:27" x14ac:dyDescent="0.2">
      <c r="A257">
        <v>3</v>
      </c>
      <c r="B257" t="s">
        <v>129</v>
      </c>
      <c r="C257">
        <v>8</v>
      </c>
      <c r="D257" t="s">
        <v>146</v>
      </c>
      <c r="E257" t="s">
        <v>482</v>
      </c>
      <c r="F257">
        <v>1</v>
      </c>
      <c r="G257" t="s">
        <v>548</v>
      </c>
      <c r="H257" t="s">
        <v>551</v>
      </c>
      <c r="I257" t="s">
        <v>485</v>
      </c>
      <c r="O257">
        <v>1</v>
      </c>
      <c r="P257">
        <v>1</v>
      </c>
      <c r="Q257">
        <v>1</v>
      </c>
      <c r="T257">
        <v>1</v>
      </c>
      <c r="U257">
        <f t="shared" si="25"/>
        <v>4</v>
      </c>
      <c r="V257">
        <f t="shared" si="26"/>
        <v>4</v>
      </c>
      <c r="W257" s="4">
        <f t="shared" si="23"/>
        <v>1</v>
      </c>
      <c r="X257" s="4">
        <f t="shared" si="24"/>
        <v>50</v>
      </c>
      <c r="Z257">
        <f t="shared" si="27"/>
        <v>364</v>
      </c>
      <c r="AA257">
        <f t="shared" si="30"/>
        <v>0</v>
      </c>
    </row>
    <row r="258" spans="1:27" x14ac:dyDescent="0.2">
      <c r="A258">
        <v>1</v>
      </c>
      <c r="B258" t="s">
        <v>129</v>
      </c>
      <c r="C258">
        <v>8</v>
      </c>
      <c r="D258" t="s">
        <v>146</v>
      </c>
      <c r="E258" t="s">
        <v>482</v>
      </c>
      <c r="F258">
        <v>1</v>
      </c>
      <c r="G258" t="s">
        <v>552</v>
      </c>
      <c r="H258" t="s">
        <v>553</v>
      </c>
      <c r="I258" t="s">
        <v>485</v>
      </c>
      <c r="O258">
        <v>1</v>
      </c>
      <c r="P258">
        <v>1</v>
      </c>
      <c r="Q258">
        <v>1</v>
      </c>
      <c r="T258">
        <v>0</v>
      </c>
      <c r="U258">
        <f t="shared" si="25"/>
        <v>4</v>
      </c>
      <c r="V258">
        <f t="shared" si="26"/>
        <v>3</v>
      </c>
      <c r="W258" s="4">
        <f t="shared" ref="W258:W321" si="31">IF(U258=0,"",V258/U258)</f>
        <v>0.75</v>
      </c>
      <c r="X258" s="4">
        <f t="shared" ref="X258:X321" si="32">IF(W258="","",W258/2*100)</f>
        <v>37.5</v>
      </c>
      <c r="Y258" t="s">
        <v>544</v>
      </c>
      <c r="Z258">
        <f t="shared" si="27"/>
        <v>167</v>
      </c>
      <c r="AA258">
        <f t="shared" si="30"/>
        <v>1</v>
      </c>
    </row>
    <row r="259" spans="1:27" x14ac:dyDescent="0.2">
      <c r="A259">
        <v>2</v>
      </c>
      <c r="B259" t="s">
        <v>129</v>
      </c>
      <c r="C259">
        <v>8</v>
      </c>
      <c r="D259" t="s">
        <v>146</v>
      </c>
      <c r="E259" t="s">
        <v>482</v>
      </c>
      <c r="F259">
        <v>1</v>
      </c>
      <c r="G259" t="s">
        <v>552</v>
      </c>
      <c r="H259" t="s">
        <v>554</v>
      </c>
      <c r="I259" t="s">
        <v>485</v>
      </c>
      <c r="O259">
        <v>1</v>
      </c>
      <c r="P259">
        <v>1</v>
      </c>
      <c r="Q259">
        <v>1</v>
      </c>
      <c r="T259">
        <v>1</v>
      </c>
      <c r="U259">
        <f t="shared" ref="U259:U322" si="33">COUNT(J259:T259)</f>
        <v>4</v>
      </c>
      <c r="V259">
        <f t="shared" ref="V259:V322" si="34">SUM(J259:T259)</f>
        <v>4</v>
      </c>
      <c r="W259" s="4">
        <f t="shared" si="31"/>
        <v>1</v>
      </c>
      <c r="X259" s="4">
        <f t="shared" si="32"/>
        <v>50</v>
      </c>
      <c r="Z259">
        <f t="shared" ref="Z259:Z322" si="35">LEN(H259)</f>
        <v>365</v>
      </c>
      <c r="AA259">
        <f t="shared" si="30"/>
        <v>0</v>
      </c>
    </row>
    <row r="260" spans="1:27" x14ac:dyDescent="0.2">
      <c r="A260">
        <v>3</v>
      </c>
      <c r="B260" t="s">
        <v>129</v>
      </c>
      <c r="C260">
        <v>8</v>
      </c>
      <c r="D260" t="s">
        <v>146</v>
      </c>
      <c r="E260" t="s">
        <v>482</v>
      </c>
      <c r="F260">
        <v>1</v>
      </c>
      <c r="G260" t="s">
        <v>552</v>
      </c>
      <c r="H260" t="s">
        <v>555</v>
      </c>
      <c r="I260" t="s">
        <v>485</v>
      </c>
      <c r="O260">
        <v>1</v>
      </c>
      <c r="P260">
        <v>1</v>
      </c>
      <c r="Q260">
        <v>1</v>
      </c>
      <c r="T260">
        <v>1</v>
      </c>
      <c r="U260">
        <f t="shared" si="33"/>
        <v>4</v>
      </c>
      <c r="V260">
        <f t="shared" si="34"/>
        <v>4</v>
      </c>
      <c r="W260" s="4">
        <f t="shared" si="31"/>
        <v>1</v>
      </c>
      <c r="X260" s="4">
        <f t="shared" si="32"/>
        <v>50</v>
      </c>
      <c r="Z260">
        <f t="shared" si="35"/>
        <v>267</v>
      </c>
      <c r="AA260">
        <f t="shared" si="30"/>
        <v>0</v>
      </c>
    </row>
    <row r="261" spans="1:27" x14ac:dyDescent="0.2">
      <c r="A261">
        <v>1</v>
      </c>
      <c r="B261" t="s">
        <v>129</v>
      </c>
      <c r="C261">
        <v>8</v>
      </c>
      <c r="D261" t="s">
        <v>146</v>
      </c>
      <c r="E261" t="s">
        <v>482</v>
      </c>
      <c r="F261">
        <v>1</v>
      </c>
      <c r="G261" t="s">
        <v>556</v>
      </c>
      <c r="H261" t="s">
        <v>557</v>
      </c>
      <c r="I261" t="s">
        <v>485</v>
      </c>
      <c r="O261">
        <v>1</v>
      </c>
      <c r="P261">
        <v>1</v>
      </c>
      <c r="Q261">
        <v>1</v>
      </c>
      <c r="T261">
        <v>0</v>
      </c>
      <c r="U261">
        <f t="shared" si="33"/>
        <v>4</v>
      </c>
      <c r="V261">
        <f t="shared" si="34"/>
        <v>3</v>
      </c>
      <c r="W261" s="4">
        <f t="shared" si="31"/>
        <v>0.75</v>
      </c>
      <c r="X261" s="4">
        <f t="shared" si="32"/>
        <v>37.5</v>
      </c>
      <c r="Y261" t="s">
        <v>558</v>
      </c>
      <c r="Z261">
        <f t="shared" si="35"/>
        <v>222</v>
      </c>
      <c r="AA261">
        <f t="shared" si="30"/>
        <v>1</v>
      </c>
    </row>
    <row r="262" spans="1:27" x14ac:dyDescent="0.2">
      <c r="A262">
        <v>2</v>
      </c>
      <c r="B262" t="s">
        <v>129</v>
      </c>
      <c r="C262">
        <v>8</v>
      </c>
      <c r="D262" t="s">
        <v>146</v>
      </c>
      <c r="E262" t="s">
        <v>482</v>
      </c>
      <c r="F262">
        <v>1</v>
      </c>
      <c r="G262" t="s">
        <v>556</v>
      </c>
      <c r="H262" t="s">
        <v>559</v>
      </c>
      <c r="I262" t="s">
        <v>485</v>
      </c>
      <c r="O262">
        <v>1</v>
      </c>
      <c r="P262">
        <v>1</v>
      </c>
      <c r="Q262">
        <v>1</v>
      </c>
      <c r="T262">
        <v>1</v>
      </c>
      <c r="U262">
        <f t="shared" si="33"/>
        <v>4</v>
      </c>
      <c r="V262">
        <f t="shared" si="34"/>
        <v>4</v>
      </c>
      <c r="W262" s="4">
        <f t="shared" si="31"/>
        <v>1</v>
      </c>
      <c r="X262" s="4">
        <f t="shared" si="32"/>
        <v>50</v>
      </c>
      <c r="Y262" t="s">
        <v>486</v>
      </c>
      <c r="Z262">
        <f t="shared" si="35"/>
        <v>330</v>
      </c>
      <c r="AA262">
        <f t="shared" si="30"/>
        <v>0</v>
      </c>
    </row>
    <row r="263" spans="1:27" x14ac:dyDescent="0.2">
      <c r="A263">
        <v>3</v>
      </c>
      <c r="B263" t="s">
        <v>129</v>
      </c>
      <c r="C263">
        <v>8</v>
      </c>
      <c r="D263" t="s">
        <v>146</v>
      </c>
      <c r="E263" t="s">
        <v>482</v>
      </c>
      <c r="F263">
        <v>1</v>
      </c>
      <c r="G263" t="s">
        <v>556</v>
      </c>
      <c r="H263" t="s">
        <v>560</v>
      </c>
      <c r="I263" t="s">
        <v>485</v>
      </c>
      <c r="O263">
        <v>1</v>
      </c>
      <c r="P263">
        <v>1</v>
      </c>
      <c r="Q263">
        <v>1</v>
      </c>
      <c r="T263">
        <v>1</v>
      </c>
      <c r="U263">
        <f t="shared" si="33"/>
        <v>4</v>
      </c>
      <c r="V263">
        <f t="shared" si="34"/>
        <v>4</v>
      </c>
      <c r="W263" s="4">
        <f t="shared" si="31"/>
        <v>1</v>
      </c>
      <c r="X263" s="4">
        <f t="shared" si="32"/>
        <v>50</v>
      </c>
      <c r="Y263" t="s">
        <v>486</v>
      </c>
      <c r="Z263">
        <f t="shared" si="35"/>
        <v>319</v>
      </c>
      <c r="AA263">
        <f t="shared" si="30"/>
        <v>0</v>
      </c>
    </row>
    <row r="264" spans="1:27" x14ac:dyDescent="0.2">
      <c r="A264">
        <v>1</v>
      </c>
      <c r="B264" t="s">
        <v>129</v>
      </c>
      <c r="C264">
        <v>8</v>
      </c>
      <c r="D264" t="s">
        <v>146</v>
      </c>
      <c r="E264" t="s">
        <v>482</v>
      </c>
      <c r="F264">
        <v>1</v>
      </c>
      <c r="G264" t="s">
        <v>561</v>
      </c>
      <c r="H264" t="s">
        <v>562</v>
      </c>
      <c r="I264" t="s">
        <v>485</v>
      </c>
      <c r="O264">
        <v>1</v>
      </c>
      <c r="P264">
        <v>1</v>
      </c>
      <c r="Q264">
        <v>1</v>
      </c>
      <c r="T264">
        <v>2</v>
      </c>
      <c r="U264">
        <f t="shared" si="33"/>
        <v>4</v>
      </c>
      <c r="V264">
        <f t="shared" si="34"/>
        <v>5</v>
      </c>
      <c r="W264" s="4">
        <f t="shared" si="31"/>
        <v>1.25</v>
      </c>
      <c r="X264" s="4">
        <f t="shared" si="32"/>
        <v>62.5</v>
      </c>
      <c r="Z264">
        <f t="shared" si="35"/>
        <v>172</v>
      </c>
      <c r="AA264">
        <f t="shared" si="30"/>
        <v>0</v>
      </c>
    </row>
    <row r="265" spans="1:27" x14ac:dyDescent="0.2">
      <c r="A265">
        <v>2</v>
      </c>
      <c r="B265" t="s">
        <v>129</v>
      </c>
      <c r="C265">
        <v>8</v>
      </c>
      <c r="D265" t="s">
        <v>146</v>
      </c>
      <c r="E265" t="s">
        <v>482</v>
      </c>
      <c r="F265">
        <v>1</v>
      </c>
      <c r="G265" t="s">
        <v>561</v>
      </c>
      <c r="H265" t="s">
        <v>563</v>
      </c>
      <c r="I265" t="s">
        <v>485</v>
      </c>
      <c r="O265">
        <v>1</v>
      </c>
      <c r="P265">
        <v>1</v>
      </c>
      <c r="Q265">
        <v>1</v>
      </c>
      <c r="T265">
        <v>2</v>
      </c>
      <c r="U265">
        <f t="shared" si="33"/>
        <v>4</v>
      </c>
      <c r="V265">
        <f t="shared" si="34"/>
        <v>5</v>
      </c>
      <c r="W265" s="4">
        <f t="shared" si="31"/>
        <v>1.25</v>
      </c>
      <c r="X265" s="4">
        <f t="shared" si="32"/>
        <v>62.5</v>
      </c>
      <c r="Z265">
        <f t="shared" si="35"/>
        <v>338</v>
      </c>
      <c r="AA265">
        <f t="shared" si="30"/>
        <v>0</v>
      </c>
    </row>
    <row r="266" spans="1:27" x14ac:dyDescent="0.2">
      <c r="A266">
        <v>3</v>
      </c>
      <c r="B266" t="s">
        <v>129</v>
      </c>
      <c r="C266">
        <v>8</v>
      </c>
      <c r="D266" t="s">
        <v>146</v>
      </c>
      <c r="E266" t="s">
        <v>482</v>
      </c>
      <c r="F266">
        <v>1</v>
      </c>
      <c r="G266" t="s">
        <v>561</v>
      </c>
      <c r="H266" t="s">
        <v>564</v>
      </c>
      <c r="I266" t="s">
        <v>485</v>
      </c>
      <c r="O266">
        <v>1</v>
      </c>
      <c r="P266">
        <v>1</v>
      </c>
      <c r="Q266">
        <v>1</v>
      </c>
      <c r="T266">
        <v>2</v>
      </c>
      <c r="U266">
        <f t="shared" si="33"/>
        <v>4</v>
      </c>
      <c r="V266">
        <f t="shared" si="34"/>
        <v>5</v>
      </c>
      <c r="W266" s="4">
        <f t="shared" si="31"/>
        <v>1.25</v>
      </c>
      <c r="X266" s="4">
        <f t="shared" si="32"/>
        <v>62.5</v>
      </c>
      <c r="Z266">
        <f t="shared" si="35"/>
        <v>294</v>
      </c>
      <c r="AA266">
        <f t="shared" si="30"/>
        <v>0</v>
      </c>
    </row>
    <row r="267" spans="1:27" x14ac:dyDescent="0.2">
      <c r="A267">
        <v>1</v>
      </c>
      <c r="B267" t="s">
        <v>129</v>
      </c>
      <c r="C267">
        <v>8</v>
      </c>
      <c r="D267" t="s">
        <v>146</v>
      </c>
      <c r="E267" t="s">
        <v>482</v>
      </c>
      <c r="F267">
        <v>1</v>
      </c>
      <c r="G267" t="s">
        <v>565</v>
      </c>
      <c r="H267" t="s">
        <v>566</v>
      </c>
      <c r="I267" t="s">
        <v>485</v>
      </c>
      <c r="O267">
        <v>1</v>
      </c>
      <c r="P267">
        <v>1</v>
      </c>
      <c r="Q267">
        <v>1</v>
      </c>
      <c r="T267">
        <v>1</v>
      </c>
      <c r="U267">
        <f t="shared" si="33"/>
        <v>4</v>
      </c>
      <c r="V267">
        <f t="shared" si="34"/>
        <v>4</v>
      </c>
      <c r="W267" s="4">
        <f t="shared" si="31"/>
        <v>1</v>
      </c>
      <c r="X267" s="4">
        <f t="shared" si="32"/>
        <v>50</v>
      </c>
      <c r="Y267" t="s">
        <v>486</v>
      </c>
      <c r="Z267">
        <f t="shared" si="35"/>
        <v>230</v>
      </c>
      <c r="AA267">
        <f t="shared" si="30"/>
        <v>0</v>
      </c>
    </row>
    <row r="268" spans="1:27" x14ac:dyDescent="0.2">
      <c r="A268">
        <v>2</v>
      </c>
      <c r="B268" t="s">
        <v>129</v>
      </c>
      <c r="C268">
        <v>8</v>
      </c>
      <c r="D268" t="s">
        <v>146</v>
      </c>
      <c r="E268" t="s">
        <v>482</v>
      </c>
      <c r="F268">
        <v>1</v>
      </c>
      <c r="G268" t="s">
        <v>565</v>
      </c>
      <c r="H268" t="s">
        <v>567</v>
      </c>
      <c r="I268" t="s">
        <v>485</v>
      </c>
      <c r="O268">
        <v>1</v>
      </c>
      <c r="P268">
        <v>1</v>
      </c>
      <c r="Q268">
        <v>1</v>
      </c>
      <c r="T268">
        <v>1</v>
      </c>
      <c r="U268">
        <f t="shared" si="33"/>
        <v>4</v>
      </c>
      <c r="V268">
        <f t="shared" si="34"/>
        <v>4</v>
      </c>
      <c r="W268" s="4">
        <f t="shared" si="31"/>
        <v>1</v>
      </c>
      <c r="X268" s="4">
        <f t="shared" si="32"/>
        <v>50</v>
      </c>
      <c r="Y268" t="s">
        <v>486</v>
      </c>
      <c r="Z268">
        <f t="shared" si="35"/>
        <v>360</v>
      </c>
      <c r="AA268">
        <f t="shared" si="30"/>
        <v>0</v>
      </c>
    </row>
    <row r="269" spans="1:27" x14ac:dyDescent="0.2">
      <c r="A269">
        <v>3</v>
      </c>
      <c r="B269" t="s">
        <v>129</v>
      </c>
      <c r="C269">
        <v>8</v>
      </c>
      <c r="D269" t="s">
        <v>146</v>
      </c>
      <c r="E269" t="s">
        <v>482</v>
      </c>
      <c r="F269">
        <v>1</v>
      </c>
      <c r="G269" t="s">
        <v>565</v>
      </c>
      <c r="H269" t="s">
        <v>568</v>
      </c>
      <c r="I269" t="s">
        <v>485</v>
      </c>
      <c r="O269">
        <v>1</v>
      </c>
      <c r="P269">
        <v>1</v>
      </c>
      <c r="Q269">
        <v>1</v>
      </c>
      <c r="T269">
        <v>1</v>
      </c>
      <c r="U269">
        <f t="shared" si="33"/>
        <v>4</v>
      </c>
      <c r="V269">
        <f t="shared" si="34"/>
        <v>4</v>
      </c>
      <c r="W269" s="4">
        <f t="shared" si="31"/>
        <v>1</v>
      </c>
      <c r="X269" s="4">
        <f t="shared" si="32"/>
        <v>50</v>
      </c>
      <c r="Y269" t="s">
        <v>486</v>
      </c>
      <c r="Z269">
        <f t="shared" si="35"/>
        <v>263</v>
      </c>
      <c r="AA269">
        <f t="shared" si="30"/>
        <v>0</v>
      </c>
    </row>
    <row r="270" spans="1:27" x14ac:dyDescent="0.2">
      <c r="A270">
        <v>1</v>
      </c>
      <c r="B270" t="s">
        <v>129</v>
      </c>
      <c r="C270">
        <v>8</v>
      </c>
      <c r="D270" t="s">
        <v>146</v>
      </c>
      <c r="E270" t="s">
        <v>482</v>
      </c>
      <c r="F270">
        <v>1</v>
      </c>
      <c r="G270" t="s">
        <v>569</v>
      </c>
      <c r="H270" t="s">
        <v>570</v>
      </c>
      <c r="I270" t="s">
        <v>485</v>
      </c>
      <c r="O270">
        <v>1</v>
      </c>
      <c r="P270">
        <v>1</v>
      </c>
      <c r="Q270">
        <v>1</v>
      </c>
      <c r="T270">
        <v>1</v>
      </c>
      <c r="U270">
        <f t="shared" si="33"/>
        <v>4</v>
      </c>
      <c r="V270">
        <f t="shared" si="34"/>
        <v>4</v>
      </c>
      <c r="W270" s="4">
        <f t="shared" si="31"/>
        <v>1</v>
      </c>
      <c r="X270" s="4">
        <f t="shared" si="32"/>
        <v>50</v>
      </c>
      <c r="Z270">
        <f t="shared" si="35"/>
        <v>182</v>
      </c>
      <c r="AA270">
        <f t="shared" si="30"/>
        <v>0</v>
      </c>
    </row>
    <row r="271" spans="1:27" x14ac:dyDescent="0.2">
      <c r="A271">
        <v>2</v>
      </c>
      <c r="B271" t="s">
        <v>129</v>
      </c>
      <c r="C271">
        <v>8</v>
      </c>
      <c r="D271" t="s">
        <v>146</v>
      </c>
      <c r="E271" t="s">
        <v>482</v>
      </c>
      <c r="F271">
        <v>1</v>
      </c>
      <c r="G271" t="s">
        <v>569</v>
      </c>
      <c r="H271" t="s">
        <v>571</v>
      </c>
      <c r="I271" t="s">
        <v>485</v>
      </c>
      <c r="O271">
        <v>1</v>
      </c>
      <c r="P271">
        <v>1</v>
      </c>
      <c r="Q271">
        <v>1</v>
      </c>
      <c r="T271">
        <v>1</v>
      </c>
      <c r="U271">
        <f t="shared" si="33"/>
        <v>4</v>
      </c>
      <c r="V271">
        <f t="shared" si="34"/>
        <v>4</v>
      </c>
      <c r="W271" s="4">
        <f t="shared" si="31"/>
        <v>1</v>
      </c>
      <c r="X271" s="4">
        <f t="shared" si="32"/>
        <v>50</v>
      </c>
      <c r="Z271">
        <f t="shared" si="35"/>
        <v>248</v>
      </c>
      <c r="AA271">
        <f t="shared" si="30"/>
        <v>0</v>
      </c>
    </row>
    <row r="272" spans="1:27" x14ac:dyDescent="0.2">
      <c r="A272">
        <v>3</v>
      </c>
      <c r="B272" t="s">
        <v>129</v>
      </c>
      <c r="C272">
        <v>8</v>
      </c>
      <c r="D272" t="s">
        <v>146</v>
      </c>
      <c r="E272" t="s">
        <v>482</v>
      </c>
      <c r="F272">
        <v>1</v>
      </c>
      <c r="G272" t="s">
        <v>569</v>
      </c>
      <c r="H272" t="s">
        <v>572</v>
      </c>
      <c r="I272" t="s">
        <v>485</v>
      </c>
      <c r="O272">
        <v>1</v>
      </c>
      <c r="P272">
        <v>1</v>
      </c>
      <c r="Q272">
        <v>1</v>
      </c>
      <c r="T272">
        <v>1</v>
      </c>
      <c r="U272">
        <f t="shared" si="33"/>
        <v>4</v>
      </c>
      <c r="V272">
        <f t="shared" si="34"/>
        <v>4</v>
      </c>
      <c r="W272" s="4">
        <f t="shared" si="31"/>
        <v>1</v>
      </c>
      <c r="X272" s="4">
        <f t="shared" si="32"/>
        <v>50</v>
      </c>
      <c r="Z272">
        <f t="shared" si="35"/>
        <v>331</v>
      </c>
      <c r="AA272">
        <f t="shared" si="30"/>
        <v>0</v>
      </c>
    </row>
    <row r="273" spans="1:27" x14ac:dyDescent="0.2">
      <c r="A273">
        <v>1</v>
      </c>
      <c r="B273" t="s">
        <v>129</v>
      </c>
      <c r="C273">
        <v>8</v>
      </c>
      <c r="D273" t="s">
        <v>146</v>
      </c>
      <c r="E273" t="s">
        <v>482</v>
      </c>
      <c r="F273">
        <v>1</v>
      </c>
      <c r="G273" t="s">
        <v>573</v>
      </c>
      <c r="H273" t="s">
        <v>574</v>
      </c>
      <c r="I273" t="s">
        <v>485</v>
      </c>
      <c r="O273">
        <v>1</v>
      </c>
      <c r="P273">
        <v>1</v>
      </c>
      <c r="Q273">
        <v>1</v>
      </c>
      <c r="T273">
        <v>1</v>
      </c>
      <c r="U273">
        <f t="shared" si="33"/>
        <v>4</v>
      </c>
      <c r="V273">
        <f t="shared" si="34"/>
        <v>4</v>
      </c>
      <c r="W273" s="4">
        <f t="shared" si="31"/>
        <v>1</v>
      </c>
      <c r="X273" s="4">
        <f t="shared" si="32"/>
        <v>50</v>
      </c>
      <c r="Z273">
        <f t="shared" si="35"/>
        <v>151</v>
      </c>
      <c r="AA273">
        <f t="shared" si="30"/>
        <v>0</v>
      </c>
    </row>
    <row r="274" spans="1:27" x14ac:dyDescent="0.2">
      <c r="A274">
        <v>2</v>
      </c>
      <c r="B274" t="s">
        <v>129</v>
      </c>
      <c r="C274">
        <v>8</v>
      </c>
      <c r="D274" t="s">
        <v>146</v>
      </c>
      <c r="E274" t="s">
        <v>482</v>
      </c>
      <c r="F274">
        <v>1</v>
      </c>
      <c r="G274" t="s">
        <v>573</v>
      </c>
      <c r="H274" t="s">
        <v>575</v>
      </c>
      <c r="I274" t="s">
        <v>485</v>
      </c>
      <c r="O274">
        <v>1</v>
      </c>
      <c r="P274">
        <v>1</v>
      </c>
      <c r="Q274">
        <v>1</v>
      </c>
      <c r="T274">
        <v>1</v>
      </c>
      <c r="U274">
        <f t="shared" si="33"/>
        <v>4</v>
      </c>
      <c r="V274">
        <f t="shared" si="34"/>
        <v>4</v>
      </c>
      <c r="W274" s="4">
        <f t="shared" si="31"/>
        <v>1</v>
      </c>
      <c r="X274" s="4">
        <f t="shared" si="32"/>
        <v>50</v>
      </c>
      <c r="Y274" t="s">
        <v>576</v>
      </c>
      <c r="Z274">
        <f t="shared" si="35"/>
        <v>350</v>
      </c>
      <c r="AA274">
        <f>IF(X274&lt;50,1,0)</f>
        <v>0</v>
      </c>
    </row>
    <row r="275" spans="1:27" x14ac:dyDescent="0.2">
      <c r="A275">
        <v>3</v>
      </c>
      <c r="B275" t="s">
        <v>129</v>
      </c>
      <c r="C275">
        <v>8</v>
      </c>
      <c r="D275" t="s">
        <v>146</v>
      </c>
      <c r="E275" t="s">
        <v>482</v>
      </c>
      <c r="F275">
        <v>1</v>
      </c>
      <c r="G275" t="s">
        <v>573</v>
      </c>
      <c r="H275" t="s">
        <v>577</v>
      </c>
      <c r="I275" t="s">
        <v>485</v>
      </c>
      <c r="O275">
        <v>2</v>
      </c>
      <c r="P275">
        <v>2</v>
      </c>
      <c r="Q275">
        <v>2</v>
      </c>
      <c r="T275">
        <v>2</v>
      </c>
      <c r="U275">
        <f t="shared" si="33"/>
        <v>4</v>
      </c>
      <c r="V275">
        <f t="shared" si="34"/>
        <v>8</v>
      </c>
      <c r="W275" s="4">
        <f t="shared" si="31"/>
        <v>2</v>
      </c>
      <c r="X275" s="4">
        <f t="shared" si="32"/>
        <v>100</v>
      </c>
      <c r="Z275">
        <f t="shared" si="35"/>
        <v>303</v>
      </c>
      <c r="AA275">
        <f t="shared" ref="AA275:AA303" si="36">IF(X275&lt;50,1,0)</f>
        <v>0</v>
      </c>
    </row>
    <row r="276" spans="1:27" x14ac:dyDescent="0.2">
      <c r="A276">
        <v>1</v>
      </c>
      <c r="B276" t="s">
        <v>129</v>
      </c>
      <c r="C276">
        <v>9</v>
      </c>
      <c r="D276" t="s">
        <v>147</v>
      </c>
      <c r="E276" t="s">
        <v>578</v>
      </c>
      <c r="F276">
        <v>1</v>
      </c>
      <c r="G276" t="s">
        <v>579</v>
      </c>
      <c r="H276" t="s">
        <v>580</v>
      </c>
      <c r="I276" t="s">
        <v>485</v>
      </c>
      <c r="O276">
        <v>2</v>
      </c>
      <c r="P276">
        <v>2</v>
      </c>
      <c r="Q276">
        <v>2</v>
      </c>
      <c r="T276">
        <v>2</v>
      </c>
      <c r="U276">
        <f t="shared" si="33"/>
        <v>4</v>
      </c>
      <c r="V276">
        <f t="shared" si="34"/>
        <v>8</v>
      </c>
      <c r="W276" s="4">
        <f t="shared" si="31"/>
        <v>2</v>
      </c>
      <c r="X276" s="4">
        <f t="shared" si="32"/>
        <v>100</v>
      </c>
      <c r="Z276">
        <f t="shared" si="35"/>
        <v>737</v>
      </c>
      <c r="AA276">
        <f t="shared" si="36"/>
        <v>0</v>
      </c>
    </row>
    <row r="277" spans="1:27" x14ac:dyDescent="0.2">
      <c r="A277">
        <v>2</v>
      </c>
      <c r="B277" t="s">
        <v>129</v>
      </c>
      <c r="C277">
        <v>9</v>
      </c>
      <c r="D277" t="s">
        <v>147</v>
      </c>
      <c r="E277" t="s">
        <v>578</v>
      </c>
      <c r="F277">
        <v>1</v>
      </c>
      <c r="G277" t="s">
        <v>579</v>
      </c>
      <c r="H277" t="s">
        <v>581</v>
      </c>
      <c r="I277" t="s">
        <v>485</v>
      </c>
      <c r="O277">
        <v>1</v>
      </c>
      <c r="P277">
        <v>1</v>
      </c>
      <c r="Q277">
        <v>1</v>
      </c>
      <c r="T277">
        <v>1</v>
      </c>
      <c r="U277">
        <f t="shared" si="33"/>
        <v>4</v>
      </c>
      <c r="V277">
        <f t="shared" si="34"/>
        <v>4</v>
      </c>
      <c r="W277" s="4">
        <f t="shared" si="31"/>
        <v>1</v>
      </c>
      <c r="X277" s="4">
        <f t="shared" si="32"/>
        <v>50</v>
      </c>
      <c r="Z277">
        <f t="shared" si="35"/>
        <v>387</v>
      </c>
      <c r="AA277">
        <f t="shared" si="36"/>
        <v>0</v>
      </c>
    </row>
    <row r="278" spans="1:27" x14ac:dyDescent="0.2">
      <c r="A278">
        <v>3</v>
      </c>
      <c r="B278" t="s">
        <v>129</v>
      </c>
      <c r="C278">
        <v>9</v>
      </c>
      <c r="D278" t="s">
        <v>147</v>
      </c>
      <c r="E278" t="s">
        <v>578</v>
      </c>
      <c r="F278">
        <v>1</v>
      </c>
      <c r="G278" t="s">
        <v>579</v>
      </c>
      <c r="H278" t="s">
        <v>582</v>
      </c>
      <c r="I278" t="s">
        <v>485</v>
      </c>
      <c r="O278">
        <v>0</v>
      </c>
      <c r="P278">
        <v>0</v>
      </c>
      <c r="Q278">
        <v>0</v>
      </c>
      <c r="T278">
        <v>0</v>
      </c>
      <c r="U278">
        <f t="shared" si="33"/>
        <v>4</v>
      </c>
      <c r="V278">
        <f t="shared" si="34"/>
        <v>0</v>
      </c>
      <c r="W278" s="4">
        <f t="shared" si="31"/>
        <v>0</v>
      </c>
      <c r="X278" s="4">
        <f t="shared" si="32"/>
        <v>0</v>
      </c>
      <c r="Z278">
        <f t="shared" si="35"/>
        <v>318</v>
      </c>
      <c r="AA278">
        <f t="shared" si="36"/>
        <v>1</v>
      </c>
    </row>
    <row r="279" spans="1:27" x14ac:dyDescent="0.2">
      <c r="A279">
        <v>1</v>
      </c>
      <c r="B279" t="s">
        <v>129</v>
      </c>
      <c r="C279">
        <v>9</v>
      </c>
      <c r="D279" t="s">
        <v>147</v>
      </c>
      <c r="E279" t="s">
        <v>578</v>
      </c>
      <c r="F279">
        <v>1</v>
      </c>
      <c r="G279" t="s">
        <v>583</v>
      </c>
      <c r="H279" t="s">
        <v>584</v>
      </c>
      <c r="I279" t="s">
        <v>485</v>
      </c>
      <c r="O279">
        <v>1</v>
      </c>
      <c r="P279">
        <v>1</v>
      </c>
      <c r="Q279">
        <v>1</v>
      </c>
      <c r="T279">
        <v>1</v>
      </c>
      <c r="U279">
        <f t="shared" si="33"/>
        <v>4</v>
      </c>
      <c r="V279">
        <f t="shared" si="34"/>
        <v>4</v>
      </c>
      <c r="W279" s="4">
        <f t="shared" si="31"/>
        <v>1</v>
      </c>
      <c r="X279" s="4">
        <f t="shared" si="32"/>
        <v>50</v>
      </c>
      <c r="Z279">
        <f t="shared" si="35"/>
        <v>432</v>
      </c>
      <c r="AA279">
        <f t="shared" si="36"/>
        <v>0</v>
      </c>
    </row>
    <row r="280" spans="1:27" x14ac:dyDescent="0.2">
      <c r="A280">
        <v>2</v>
      </c>
      <c r="B280" t="s">
        <v>129</v>
      </c>
      <c r="C280">
        <v>9</v>
      </c>
      <c r="D280" t="s">
        <v>147</v>
      </c>
      <c r="E280" t="s">
        <v>578</v>
      </c>
      <c r="F280">
        <v>1</v>
      </c>
      <c r="G280" t="s">
        <v>583</v>
      </c>
      <c r="H280" t="s">
        <v>585</v>
      </c>
      <c r="I280" t="s">
        <v>485</v>
      </c>
      <c r="O280">
        <v>0</v>
      </c>
      <c r="P280">
        <v>0</v>
      </c>
      <c r="Q280">
        <v>0</v>
      </c>
      <c r="T280">
        <v>0</v>
      </c>
      <c r="U280">
        <f t="shared" si="33"/>
        <v>4</v>
      </c>
      <c r="V280">
        <f t="shared" si="34"/>
        <v>0</v>
      </c>
      <c r="W280" s="4">
        <f t="shared" si="31"/>
        <v>0</v>
      </c>
      <c r="X280" s="4">
        <f t="shared" si="32"/>
        <v>0</v>
      </c>
      <c r="Z280">
        <f t="shared" si="35"/>
        <v>169</v>
      </c>
      <c r="AA280">
        <f t="shared" si="36"/>
        <v>1</v>
      </c>
    </row>
    <row r="281" spans="1:27" x14ac:dyDescent="0.2">
      <c r="A281">
        <v>3</v>
      </c>
      <c r="B281" t="s">
        <v>129</v>
      </c>
      <c r="C281">
        <v>9</v>
      </c>
      <c r="D281" t="s">
        <v>147</v>
      </c>
      <c r="E281" t="s">
        <v>578</v>
      </c>
      <c r="F281">
        <v>1</v>
      </c>
      <c r="G281" t="s">
        <v>583</v>
      </c>
      <c r="H281" t="s">
        <v>586</v>
      </c>
      <c r="I281" t="s">
        <v>485</v>
      </c>
      <c r="O281">
        <v>2</v>
      </c>
      <c r="P281">
        <v>2</v>
      </c>
      <c r="Q281">
        <v>2</v>
      </c>
      <c r="T281">
        <v>2</v>
      </c>
      <c r="U281">
        <f t="shared" si="33"/>
        <v>4</v>
      </c>
      <c r="V281">
        <f t="shared" si="34"/>
        <v>8</v>
      </c>
      <c r="W281" s="4">
        <f t="shared" si="31"/>
        <v>2</v>
      </c>
      <c r="X281" s="4">
        <f t="shared" si="32"/>
        <v>100</v>
      </c>
      <c r="Z281">
        <f t="shared" si="35"/>
        <v>814</v>
      </c>
      <c r="AA281">
        <f t="shared" si="36"/>
        <v>0</v>
      </c>
    </row>
    <row r="282" spans="1:27" x14ac:dyDescent="0.2">
      <c r="A282">
        <v>1</v>
      </c>
      <c r="B282" t="s">
        <v>129</v>
      </c>
      <c r="C282">
        <v>9</v>
      </c>
      <c r="D282" t="s">
        <v>147</v>
      </c>
      <c r="E282" t="s">
        <v>578</v>
      </c>
      <c r="F282">
        <v>1</v>
      </c>
      <c r="G282" t="s">
        <v>587</v>
      </c>
      <c r="H282" t="s">
        <v>588</v>
      </c>
      <c r="I282" t="s">
        <v>485</v>
      </c>
      <c r="O282">
        <v>2</v>
      </c>
      <c r="P282">
        <v>2</v>
      </c>
      <c r="Q282">
        <v>2</v>
      </c>
      <c r="T282">
        <v>2</v>
      </c>
      <c r="U282">
        <f t="shared" si="33"/>
        <v>4</v>
      </c>
      <c r="V282">
        <f t="shared" si="34"/>
        <v>8</v>
      </c>
      <c r="W282" s="4">
        <f t="shared" si="31"/>
        <v>2</v>
      </c>
      <c r="X282" s="4">
        <f t="shared" si="32"/>
        <v>100</v>
      </c>
      <c r="Z282">
        <f t="shared" si="35"/>
        <v>820</v>
      </c>
      <c r="AA282">
        <f t="shared" si="36"/>
        <v>0</v>
      </c>
    </row>
    <row r="283" spans="1:27" x14ac:dyDescent="0.2">
      <c r="A283">
        <v>2</v>
      </c>
      <c r="B283" t="s">
        <v>129</v>
      </c>
      <c r="C283">
        <v>9</v>
      </c>
      <c r="D283" t="s">
        <v>147</v>
      </c>
      <c r="E283" t="s">
        <v>578</v>
      </c>
      <c r="F283">
        <v>1</v>
      </c>
      <c r="G283" t="s">
        <v>587</v>
      </c>
      <c r="H283" t="s">
        <v>589</v>
      </c>
      <c r="I283" t="s">
        <v>485</v>
      </c>
      <c r="O283">
        <v>2</v>
      </c>
      <c r="P283">
        <v>2</v>
      </c>
      <c r="Q283">
        <v>2</v>
      </c>
      <c r="T283">
        <v>2</v>
      </c>
      <c r="U283">
        <f t="shared" si="33"/>
        <v>4</v>
      </c>
      <c r="V283">
        <f t="shared" si="34"/>
        <v>8</v>
      </c>
      <c r="W283" s="4">
        <f t="shared" si="31"/>
        <v>2</v>
      </c>
      <c r="X283" s="4">
        <f t="shared" si="32"/>
        <v>100</v>
      </c>
      <c r="Z283">
        <f t="shared" si="35"/>
        <v>914</v>
      </c>
      <c r="AA283">
        <f t="shared" si="36"/>
        <v>0</v>
      </c>
    </row>
    <row r="284" spans="1:27" x14ac:dyDescent="0.2">
      <c r="A284">
        <v>3</v>
      </c>
      <c r="B284" t="s">
        <v>129</v>
      </c>
      <c r="C284">
        <v>9</v>
      </c>
      <c r="D284" t="s">
        <v>147</v>
      </c>
      <c r="E284" t="s">
        <v>578</v>
      </c>
      <c r="F284">
        <v>1</v>
      </c>
      <c r="G284" t="s">
        <v>587</v>
      </c>
      <c r="H284" t="s">
        <v>590</v>
      </c>
      <c r="I284" t="s">
        <v>485</v>
      </c>
      <c r="O284">
        <v>2</v>
      </c>
      <c r="P284">
        <v>2</v>
      </c>
      <c r="Q284">
        <v>2</v>
      </c>
      <c r="T284">
        <v>2</v>
      </c>
      <c r="U284">
        <f t="shared" si="33"/>
        <v>4</v>
      </c>
      <c r="V284">
        <f t="shared" si="34"/>
        <v>8</v>
      </c>
      <c r="W284" s="4">
        <f t="shared" si="31"/>
        <v>2</v>
      </c>
      <c r="X284" s="4">
        <f t="shared" si="32"/>
        <v>100</v>
      </c>
      <c r="Z284">
        <f t="shared" si="35"/>
        <v>759</v>
      </c>
      <c r="AA284">
        <f t="shared" si="36"/>
        <v>0</v>
      </c>
    </row>
    <row r="285" spans="1:27" x14ac:dyDescent="0.2">
      <c r="A285">
        <v>1</v>
      </c>
      <c r="B285" t="s">
        <v>129</v>
      </c>
      <c r="C285">
        <v>9</v>
      </c>
      <c r="D285" t="s">
        <v>147</v>
      </c>
      <c r="E285" t="s">
        <v>578</v>
      </c>
      <c r="F285">
        <v>1</v>
      </c>
      <c r="G285" t="s">
        <v>591</v>
      </c>
      <c r="H285" t="s">
        <v>592</v>
      </c>
      <c r="I285" t="s">
        <v>485</v>
      </c>
      <c r="O285">
        <v>2</v>
      </c>
      <c r="P285">
        <v>2</v>
      </c>
      <c r="Q285">
        <v>2</v>
      </c>
      <c r="T285">
        <v>1</v>
      </c>
      <c r="U285">
        <f t="shared" si="33"/>
        <v>4</v>
      </c>
      <c r="V285">
        <f t="shared" si="34"/>
        <v>7</v>
      </c>
      <c r="W285" s="4">
        <f t="shared" si="31"/>
        <v>1.75</v>
      </c>
      <c r="X285" s="4">
        <f t="shared" si="32"/>
        <v>87.5</v>
      </c>
      <c r="Z285">
        <f t="shared" si="35"/>
        <v>903</v>
      </c>
      <c r="AA285">
        <f t="shared" si="36"/>
        <v>0</v>
      </c>
    </row>
    <row r="286" spans="1:27" x14ac:dyDescent="0.2">
      <c r="A286">
        <v>1</v>
      </c>
      <c r="B286" t="s">
        <v>129</v>
      </c>
      <c r="C286">
        <v>9</v>
      </c>
      <c r="D286" t="s">
        <v>147</v>
      </c>
      <c r="E286" t="s">
        <v>578</v>
      </c>
      <c r="F286">
        <v>2</v>
      </c>
      <c r="G286" t="s">
        <v>591</v>
      </c>
      <c r="H286" t="s">
        <v>593</v>
      </c>
      <c r="I286" t="s">
        <v>485</v>
      </c>
      <c r="O286">
        <v>2</v>
      </c>
      <c r="P286">
        <v>2</v>
      </c>
      <c r="Q286">
        <v>2</v>
      </c>
      <c r="T286">
        <v>1</v>
      </c>
      <c r="U286">
        <f t="shared" si="33"/>
        <v>4</v>
      </c>
      <c r="V286">
        <f t="shared" si="34"/>
        <v>7</v>
      </c>
      <c r="W286" s="4">
        <f t="shared" si="31"/>
        <v>1.75</v>
      </c>
      <c r="X286" s="4">
        <f t="shared" si="32"/>
        <v>87.5</v>
      </c>
      <c r="Z286">
        <f t="shared" si="35"/>
        <v>795</v>
      </c>
      <c r="AA286">
        <f t="shared" si="36"/>
        <v>0</v>
      </c>
    </row>
    <row r="287" spans="1:27" x14ac:dyDescent="0.2">
      <c r="A287">
        <v>2</v>
      </c>
      <c r="B287" t="s">
        <v>129</v>
      </c>
      <c r="C287">
        <v>9</v>
      </c>
      <c r="D287" t="s">
        <v>147</v>
      </c>
      <c r="E287" t="s">
        <v>578</v>
      </c>
      <c r="F287">
        <v>1</v>
      </c>
      <c r="G287" t="s">
        <v>591</v>
      </c>
      <c r="H287" t="s">
        <v>594</v>
      </c>
      <c r="I287" t="s">
        <v>485</v>
      </c>
      <c r="O287">
        <v>1</v>
      </c>
      <c r="P287">
        <v>1</v>
      </c>
      <c r="Q287">
        <v>1</v>
      </c>
      <c r="T287">
        <v>2</v>
      </c>
      <c r="U287">
        <f t="shared" si="33"/>
        <v>4</v>
      </c>
      <c r="V287">
        <f t="shared" si="34"/>
        <v>5</v>
      </c>
      <c r="W287" s="4">
        <f t="shared" si="31"/>
        <v>1.25</v>
      </c>
      <c r="X287" s="4">
        <f t="shared" si="32"/>
        <v>62.5</v>
      </c>
      <c r="Y287" t="s">
        <v>595</v>
      </c>
      <c r="Z287">
        <f t="shared" si="35"/>
        <v>447</v>
      </c>
      <c r="AA287">
        <f t="shared" si="36"/>
        <v>0</v>
      </c>
    </row>
    <row r="288" spans="1:27" x14ac:dyDescent="0.2">
      <c r="A288">
        <v>2</v>
      </c>
      <c r="B288" t="s">
        <v>129</v>
      </c>
      <c r="C288">
        <v>9</v>
      </c>
      <c r="D288" t="s">
        <v>147</v>
      </c>
      <c r="E288" t="s">
        <v>578</v>
      </c>
      <c r="F288">
        <v>2</v>
      </c>
      <c r="G288" t="s">
        <v>591</v>
      </c>
      <c r="H288" t="s">
        <v>596</v>
      </c>
      <c r="I288" t="s">
        <v>485</v>
      </c>
      <c r="O288">
        <v>1</v>
      </c>
      <c r="P288">
        <v>1</v>
      </c>
      <c r="Q288">
        <v>1</v>
      </c>
      <c r="T288">
        <v>2</v>
      </c>
      <c r="U288">
        <f t="shared" si="33"/>
        <v>4</v>
      </c>
      <c r="V288">
        <f t="shared" si="34"/>
        <v>5</v>
      </c>
      <c r="W288" s="4">
        <f t="shared" si="31"/>
        <v>1.25</v>
      </c>
      <c r="X288" s="4">
        <f t="shared" si="32"/>
        <v>62.5</v>
      </c>
      <c r="Y288" t="s">
        <v>595</v>
      </c>
      <c r="Z288">
        <f t="shared" si="35"/>
        <v>502</v>
      </c>
      <c r="AA288">
        <f t="shared" si="36"/>
        <v>0</v>
      </c>
    </row>
    <row r="289" spans="1:27" x14ac:dyDescent="0.2">
      <c r="A289">
        <v>3</v>
      </c>
      <c r="B289" t="s">
        <v>129</v>
      </c>
      <c r="C289">
        <v>9</v>
      </c>
      <c r="D289" t="s">
        <v>147</v>
      </c>
      <c r="E289" t="s">
        <v>578</v>
      </c>
      <c r="F289">
        <v>1</v>
      </c>
      <c r="G289" t="s">
        <v>591</v>
      </c>
      <c r="H289" t="s">
        <v>597</v>
      </c>
      <c r="I289" t="s">
        <v>485</v>
      </c>
      <c r="O289">
        <v>1</v>
      </c>
      <c r="P289">
        <v>1</v>
      </c>
      <c r="Q289">
        <v>1</v>
      </c>
      <c r="T289">
        <v>2</v>
      </c>
      <c r="U289">
        <f t="shared" si="33"/>
        <v>4</v>
      </c>
      <c r="V289">
        <f t="shared" si="34"/>
        <v>5</v>
      </c>
      <c r="W289" s="4">
        <f t="shared" si="31"/>
        <v>1.25</v>
      </c>
      <c r="X289" s="4">
        <f t="shared" si="32"/>
        <v>62.5</v>
      </c>
      <c r="Y289" t="s">
        <v>595</v>
      </c>
      <c r="Z289">
        <f t="shared" si="35"/>
        <v>460</v>
      </c>
      <c r="AA289">
        <f t="shared" si="36"/>
        <v>0</v>
      </c>
    </row>
    <row r="290" spans="1:27" x14ac:dyDescent="0.2">
      <c r="A290">
        <v>3</v>
      </c>
      <c r="B290" t="s">
        <v>129</v>
      </c>
      <c r="C290">
        <v>9</v>
      </c>
      <c r="D290" t="s">
        <v>147</v>
      </c>
      <c r="E290" t="s">
        <v>578</v>
      </c>
      <c r="F290">
        <v>2</v>
      </c>
      <c r="G290" t="s">
        <v>591</v>
      </c>
      <c r="H290" t="s">
        <v>598</v>
      </c>
      <c r="I290" t="s">
        <v>485</v>
      </c>
      <c r="O290">
        <v>1</v>
      </c>
      <c r="P290">
        <v>1</v>
      </c>
      <c r="Q290">
        <v>1</v>
      </c>
      <c r="T290">
        <v>2</v>
      </c>
      <c r="U290">
        <f t="shared" si="33"/>
        <v>4</v>
      </c>
      <c r="V290">
        <f t="shared" si="34"/>
        <v>5</v>
      </c>
      <c r="W290" s="4">
        <f t="shared" si="31"/>
        <v>1.25</v>
      </c>
      <c r="X290" s="4">
        <f t="shared" si="32"/>
        <v>62.5</v>
      </c>
      <c r="Y290" t="s">
        <v>595</v>
      </c>
      <c r="Z290">
        <f t="shared" si="35"/>
        <v>494</v>
      </c>
      <c r="AA290">
        <f t="shared" si="36"/>
        <v>0</v>
      </c>
    </row>
    <row r="291" spans="1:27" x14ac:dyDescent="0.2">
      <c r="A291">
        <v>1</v>
      </c>
      <c r="B291" t="s">
        <v>129</v>
      </c>
      <c r="C291">
        <v>9</v>
      </c>
      <c r="D291" t="s">
        <v>147</v>
      </c>
      <c r="E291" t="s">
        <v>578</v>
      </c>
      <c r="F291">
        <v>1</v>
      </c>
      <c r="G291" t="s">
        <v>599</v>
      </c>
      <c r="H291" t="s">
        <v>232</v>
      </c>
      <c r="I291" t="s">
        <v>485</v>
      </c>
      <c r="O291">
        <v>0</v>
      </c>
      <c r="P291">
        <v>0</v>
      </c>
      <c r="Q291">
        <v>0</v>
      </c>
      <c r="T291">
        <v>0</v>
      </c>
      <c r="U291">
        <f t="shared" si="33"/>
        <v>4</v>
      </c>
      <c r="V291">
        <f t="shared" si="34"/>
        <v>0</v>
      </c>
      <c r="W291" s="4">
        <f t="shared" si="31"/>
        <v>0</v>
      </c>
      <c r="X291" s="4">
        <f t="shared" si="32"/>
        <v>0</v>
      </c>
      <c r="Z291">
        <f t="shared" si="35"/>
        <v>24</v>
      </c>
      <c r="AA291">
        <f t="shared" si="36"/>
        <v>1</v>
      </c>
    </row>
    <row r="292" spans="1:27" x14ac:dyDescent="0.2">
      <c r="A292">
        <v>2</v>
      </c>
      <c r="B292" t="s">
        <v>129</v>
      </c>
      <c r="C292">
        <v>9</v>
      </c>
      <c r="D292" t="s">
        <v>147</v>
      </c>
      <c r="E292" t="s">
        <v>578</v>
      </c>
      <c r="F292">
        <v>1</v>
      </c>
      <c r="G292" t="s">
        <v>599</v>
      </c>
      <c r="H292" t="s">
        <v>232</v>
      </c>
      <c r="I292" t="s">
        <v>485</v>
      </c>
      <c r="O292">
        <v>0</v>
      </c>
      <c r="P292">
        <v>0</v>
      </c>
      <c r="Q292">
        <v>0</v>
      </c>
      <c r="T292">
        <v>0</v>
      </c>
      <c r="U292">
        <f t="shared" si="33"/>
        <v>4</v>
      </c>
      <c r="V292">
        <f t="shared" si="34"/>
        <v>0</v>
      </c>
      <c r="W292" s="4">
        <f t="shared" si="31"/>
        <v>0</v>
      </c>
      <c r="X292" s="4">
        <f t="shared" si="32"/>
        <v>0</v>
      </c>
      <c r="Z292">
        <f t="shared" si="35"/>
        <v>24</v>
      </c>
      <c r="AA292">
        <f t="shared" si="36"/>
        <v>1</v>
      </c>
    </row>
    <row r="293" spans="1:27" x14ac:dyDescent="0.2">
      <c r="A293">
        <v>3</v>
      </c>
      <c r="B293" t="s">
        <v>129</v>
      </c>
      <c r="C293">
        <v>9</v>
      </c>
      <c r="D293" t="s">
        <v>147</v>
      </c>
      <c r="E293" t="s">
        <v>578</v>
      </c>
      <c r="F293">
        <v>1</v>
      </c>
      <c r="G293" t="s">
        <v>599</v>
      </c>
      <c r="H293" t="s">
        <v>600</v>
      </c>
      <c r="I293" t="s">
        <v>485</v>
      </c>
      <c r="O293">
        <v>1</v>
      </c>
      <c r="P293">
        <v>1</v>
      </c>
      <c r="Q293">
        <v>1</v>
      </c>
      <c r="T293">
        <v>1</v>
      </c>
      <c r="U293">
        <f t="shared" si="33"/>
        <v>4</v>
      </c>
      <c r="V293">
        <f t="shared" si="34"/>
        <v>4</v>
      </c>
      <c r="W293" s="4">
        <f t="shared" si="31"/>
        <v>1</v>
      </c>
      <c r="X293" s="4">
        <f t="shared" si="32"/>
        <v>50</v>
      </c>
      <c r="Z293">
        <f t="shared" si="35"/>
        <v>331</v>
      </c>
      <c r="AA293">
        <f t="shared" si="36"/>
        <v>0</v>
      </c>
    </row>
    <row r="294" spans="1:27" x14ac:dyDescent="0.2">
      <c r="A294">
        <v>1</v>
      </c>
      <c r="B294" t="s">
        <v>129</v>
      </c>
      <c r="C294">
        <v>9</v>
      </c>
      <c r="D294" t="s">
        <v>147</v>
      </c>
      <c r="E294" t="s">
        <v>578</v>
      </c>
      <c r="F294">
        <v>1</v>
      </c>
      <c r="G294" t="s">
        <v>601</v>
      </c>
      <c r="H294" t="s">
        <v>602</v>
      </c>
      <c r="I294" t="s">
        <v>485</v>
      </c>
      <c r="O294">
        <v>2</v>
      </c>
      <c r="P294">
        <v>2</v>
      </c>
      <c r="Q294">
        <v>2</v>
      </c>
      <c r="T294">
        <v>2</v>
      </c>
      <c r="U294">
        <f t="shared" si="33"/>
        <v>4</v>
      </c>
      <c r="V294">
        <f t="shared" si="34"/>
        <v>8</v>
      </c>
      <c r="W294" s="4">
        <f t="shared" si="31"/>
        <v>2</v>
      </c>
      <c r="X294" s="4">
        <f t="shared" si="32"/>
        <v>100</v>
      </c>
      <c r="Z294">
        <f t="shared" si="35"/>
        <v>711</v>
      </c>
      <c r="AA294">
        <f t="shared" si="36"/>
        <v>0</v>
      </c>
    </row>
    <row r="295" spans="1:27" x14ac:dyDescent="0.2">
      <c r="A295">
        <v>2</v>
      </c>
      <c r="B295" t="s">
        <v>129</v>
      </c>
      <c r="C295">
        <v>9</v>
      </c>
      <c r="D295" t="s">
        <v>147</v>
      </c>
      <c r="E295" t="s">
        <v>578</v>
      </c>
      <c r="F295">
        <v>1</v>
      </c>
      <c r="G295" t="s">
        <v>601</v>
      </c>
      <c r="H295" t="s">
        <v>603</v>
      </c>
      <c r="I295" t="s">
        <v>485</v>
      </c>
      <c r="O295">
        <v>2</v>
      </c>
      <c r="P295">
        <v>2</v>
      </c>
      <c r="Q295">
        <v>2</v>
      </c>
      <c r="T295">
        <v>2</v>
      </c>
      <c r="U295">
        <f t="shared" si="33"/>
        <v>4</v>
      </c>
      <c r="V295">
        <f t="shared" si="34"/>
        <v>8</v>
      </c>
      <c r="W295" s="4">
        <f t="shared" si="31"/>
        <v>2</v>
      </c>
      <c r="X295" s="4">
        <f t="shared" si="32"/>
        <v>100</v>
      </c>
      <c r="Z295">
        <f t="shared" si="35"/>
        <v>870</v>
      </c>
      <c r="AA295">
        <f t="shared" si="36"/>
        <v>0</v>
      </c>
    </row>
    <row r="296" spans="1:27" x14ac:dyDescent="0.2">
      <c r="A296">
        <v>3</v>
      </c>
      <c r="B296" t="s">
        <v>129</v>
      </c>
      <c r="C296">
        <v>9</v>
      </c>
      <c r="D296" t="s">
        <v>147</v>
      </c>
      <c r="E296" t="s">
        <v>578</v>
      </c>
      <c r="F296">
        <v>1</v>
      </c>
      <c r="G296" t="s">
        <v>601</v>
      </c>
      <c r="H296" t="s">
        <v>604</v>
      </c>
      <c r="I296" t="s">
        <v>485</v>
      </c>
      <c r="O296">
        <v>2</v>
      </c>
      <c r="P296">
        <v>2</v>
      </c>
      <c r="Q296">
        <v>2</v>
      </c>
      <c r="T296">
        <v>2</v>
      </c>
      <c r="U296">
        <f t="shared" si="33"/>
        <v>4</v>
      </c>
      <c r="V296">
        <f t="shared" si="34"/>
        <v>8</v>
      </c>
      <c r="W296" s="4">
        <f t="shared" si="31"/>
        <v>2</v>
      </c>
      <c r="X296" s="4">
        <f t="shared" si="32"/>
        <v>100</v>
      </c>
      <c r="Z296">
        <f t="shared" si="35"/>
        <v>680</v>
      </c>
      <c r="AA296">
        <f t="shared" si="36"/>
        <v>0</v>
      </c>
    </row>
    <row r="297" spans="1:27" x14ac:dyDescent="0.2">
      <c r="A297">
        <v>1</v>
      </c>
      <c r="B297" t="s">
        <v>129</v>
      </c>
      <c r="C297">
        <v>9</v>
      </c>
      <c r="D297" t="s">
        <v>147</v>
      </c>
      <c r="E297" t="s">
        <v>578</v>
      </c>
      <c r="F297">
        <v>1</v>
      </c>
      <c r="G297" t="s">
        <v>605</v>
      </c>
      <c r="H297" t="s">
        <v>606</v>
      </c>
      <c r="I297" t="s">
        <v>485</v>
      </c>
      <c r="O297">
        <v>2</v>
      </c>
      <c r="P297">
        <v>2</v>
      </c>
      <c r="Q297">
        <v>2</v>
      </c>
      <c r="T297">
        <v>2</v>
      </c>
      <c r="U297">
        <f t="shared" si="33"/>
        <v>4</v>
      </c>
      <c r="V297">
        <f t="shared" si="34"/>
        <v>8</v>
      </c>
      <c r="W297" s="4">
        <f t="shared" si="31"/>
        <v>2</v>
      </c>
      <c r="X297" s="4">
        <f t="shared" si="32"/>
        <v>100</v>
      </c>
      <c r="Y297" t="s">
        <v>607</v>
      </c>
      <c r="Z297">
        <f t="shared" si="35"/>
        <v>681</v>
      </c>
      <c r="AA297">
        <f t="shared" si="36"/>
        <v>0</v>
      </c>
    </row>
    <row r="298" spans="1:27" x14ac:dyDescent="0.2">
      <c r="A298">
        <v>2</v>
      </c>
      <c r="B298" t="s">
        <v>129</v>
      </c>
      <c r="C298">
        <v>9</v>
      </c>
      <c r="D298" t="s">
        <v>147</v>
      </c>
      <c r="E298" t="s">
        <v>578</v>
      </c>
      <c r="F298">
        <v>1</v>
      </c>
      <c r="G298" t="s">
        <v>605</v>
      </c>
      <c r="H298" t="s">
        <v>608</v>
      </c>
      <c r="I298" t="s">
        <v>485</v>
      </c>
      <c r="O298">
        <v>2</v>
      </c>
      <c r="P298">
        <v>2</v>
      </c>
      <c r="Q298">
        <v>2</v>
      </c>
      <c r="T298">
        <v>1</v>
      </c>
      <c r="U298">
        <f t="shared" si="33"/>
        <v>4</v>
      </c>
      <c r="V298">
        <f t="shared" si="34"/>
        <v>7</v>
      </c>
      <c r="W298" s="4">
        <f t="shared" si="31"/>
        <v>1.75</v>
      </c>
      <c r="X298" s="4">
        <f t="shared" si="32"/>
        <v>87.5</v>
      </c>
      <c r="Y298" t="s">
        <v>323</v>
      </c>
      <c r="Z298">
        <f t="shared" si="35"/>
        <v>818</v>
      </c>
      <c r="AA298">
        <f t="shared" si="36"/>
        <v>0</v>
      </c>
    </row>
    <row r="299" spans="1:27" x14ac:dyDescent="0.2">
      <c r="A299">
        <v>3</v>
      </c>
      <c r="B299" t="s">
        <v>129</v>
      </c>
      <c r="C299">
        <v>9</v>
      </c>
      <c r="D299" t="s">
        <v>147</v>
      </c>
      <c r="E299" t="s">
        <v>578</v>
      </c>
      <c r="F299">
        <v>1</v>
      </c>
      <c r="G299" t="s">
        <v>605</v>
      </c>
      <c r="H299" t="s">
        <v>609</v>
      </c>
      <c r="I299" t="s">
        <v>485</v>
      </c>
      <c r="O299">
        <v>2</v>
      </c>
      <c r="P299">
        <v>2</v>
      </c>
      <c r="Q299">
        <v>2</v>
      </c>
      <c r="T299">
        <v>2</v>
      </c>
      <c r="U299">
        <f t="shared" si="33"/>
        <v>4</v>
      </c>
      <c r="V299">
        <f t="shared" si="34"/>
        <v>8</v>
      </c>
      <c r="W299" s="4">
        <f t="shared" si="31"/>
        <v>2</v>
      </c>
      <c r="X299" s="4">
        <f t="shared" si="32"/>
        <v>100</v>
      </c>
      <c r="Y299" t="s">
        <v>610</v>
      </c>
      <c r="Z299">
        <f t="shared" si="35"/>
        <v>923</v>
      </c>
      <c r="AA299">
        <f t="shared" si="36"/>
        <v>0</v>
      </c>
    </row>
    <row r="300" spans="1:27" x14ac:dyDescent="0.2">
      <c r="A300">
        <v>1</v>
      </c>
      <c r="B300" t="s">
        <v>129</v>
      </c>
      <c r="C300">
        <v>9</v>
      </c>
      <c r="D300" t="s">
        <v>147</v>
      </c>
      <c r="E300" t="s">
        <v>578</v>
      </c>
      <c r="F300">
        <v>1</v>
      </c>
      <c r="G300" t="s">
        <v>611</v>
      </c>
      <c r="H300" t="s">
        <v>612</v>
      </c>
      <c r="I300" t="s">
        <v>485</v>
      </c>
      <c r="O300">
        <v>2</v>
      </c>
      <c r="P300">
        <v>2</v>
      </c>
      <c r="Q300">
        <v>2</v>
      </c>
      <c r="T300">
        <v>2</v>
      </c>
      <c r="U300">
        <f t="shared" si="33"/>
        <v>4</v>
      </c>
      <c r="V300">
        <f t="shared" si="34"/>
        <v>8</v>
      </c>
      <c r="W300" s="4">
        <f t="shared" si="31"/>
        <v>2</v>
      </c>
      <c r="X300" s="4">
        <f t="shared" si="32"/>
        <v>100</v>
      </c>
      <c r="Z300">
        <f t="shared" si="35"/>
        <v>805</v>
      </c>
      <c r="AA300">
        <f t="shared" si="36"/>
        <v>0</v>
      </c>
    </row>
    <row r="301" spans="1:27" x14ac:dyDescent="0.2">
      <c r="A301">
        <v>2</v>
      </c>
      <c r="B301" t="s">
        <v>129</v>
      </c>
      <c r="C301">
        <v>9</v>
      </c>
      <c r="D301" t="s">
        <v>147</v>
      </c>
      <c r="E301" t="s">
        <v>578</v>
      </c>
      <c r="F301">
        <v>1</v>
      </c>
      <c r="G301" t="s">
        <v>611</v>
      </c>
      <c r="H301" t="s">
        <v>613</v>
      </c>
      <c r="I301" t="s">
        <v>485</v>
      </c>
      <c r="O301">
        <v>2</v>
      </c>
      <c r="P301">
        <v>2</v>
      </c>
      <c r="Q301">
        <v>2</v>
      </c>
      <c r="T301">
        <v>2</v>
      </c>
      <c r="U301">
        <f t="shared" si="33"/>
        <v>4</v>
      </c>
      <c r="V301">
        <f t="shared" si="34"/>
        <v>8</v>
      </c>
      <c r="W301" s="4">
        <f t="shared" si="31"/>
        <v>2</v>
      </c>
      <c r="X301" s="4">
        <f t="shared" si="32"/>
        <v>100</v>
      </c>
      <c r="Z301">
        <f t="shared" si="35"/>
        <v>779</v>
      </c>
      <c r="AA301">
        <f t="shared" si="36"/>
        <v>0</v>
      </c>
    </row>
    <row r="302" spans="1:27" x14ac:dyDescent="0.2">
      <c r="A302">
        <v>3</v>
      </c>
      <c r="B302" t="s">
        <v>129</v>
      </c>
      <c r="C302">
        <v>9</v>
      </c>
      <c r="D302" t="s">
        <v>147</v>
      </c>
      <c r="E302" t="s">
        <v>578</v>
      </c>
      <c r="F302">
        <v>1</v>
      </c>
      <c r="G302" t="s">
        <v>611</v>
      </c>
      <c r="H302" t="s">
        <v>614</v>
      </c>
      <c r="I302" t="s">
        <v>485</v>
      </c>
      <c r="O302">
        <v>2</v>
      </c>
      <c r="P302">
        <v>2</v>
      </c>
      <c r="Q302">
        <v>2</v>
      </c>
      <c r="T302">
        <v>2</v>
      </c>
      <c r="U302">
        <f t="shared" si="33"/>
        <v>4</v>
      </c>
      <c r="V302">
        <f t="shared" si="34"/>
        <v>8</v>
      </c>
      <c r="W302" s="4">
        <f t="shared" si="31"/>
        <v>2</v>
      </c>
      <c r="X302" s="4">
        <f t="shared" si="32"/>
        <v>100</v>
      </c>
      <c r="Z302">
        <f t="shared" si="35"/>
        <v>773</v>
      </c>
      <c r="AA302">
        <f t="shared" si="36"/>
        <v>0</v>
      </c>
    </row>
    <row r="303" spans="1:27" x14ac:dyDescent="0.2">
      <c r="A303">
        <v>1</v>
      </c>
      <c r="B303" t="s">
        <v>129</v>
      </c>
      <c r="C303">
        <v>9</v>
      </c>
      <c r="D303" t="s">
        <v>147</v>
      </c>
      <c r="E303" t="s">
        <v>578</v>
      </c>
      <c r="F303">
        <v>1</v>
      </c>
      <c r="G303" t="s">
        <v>615</v>
      </c>
      <c r="H303" t="s">
        <v>616</v>
      </c>
      <c r="I303" t="s">
        <v>485</v>
      </c>
      <c r="O303">
        <v>1</v>
      </c>
      <c r="P303">
        <v>1</v>
      </c>
      <c r="Q303">
        <v>1</v>
      </c>
      <c r="T303">
        <v>0</v>
      </c>
      <c r="U303">
        <f t="shared" si="33"/>
        <v>4</v>
      </c>
      <c r="V303">
        <f t="shared" si="34"/>
        <v>3</v>
      </c>
      <c r="W303" s="4">
        <f t="shared" si="31"/>
        <v>0.75</v>
      </c>
      <c r="X303" s="4">
        <f t="shared" si="32"/>
        <v>37.5</v>
      </c>
      <c r="Y303" t="s">
        <v>617</v>
      </c>
      <c r="Z303">
        <f t="shared" si="35"/>
        <v>251</v>
      </c>
      <c r="AA303">
        <f t="shared" si="36"/>
        <v>1</v>
      </c>
    </row>
    <row r="304" spans="1:27" x14ac:dyDescent="0.2">
      <c r="A304">
        <v>2</v>
      </c>
      <c r="B304" t="s">
        <v>129</v>
      </c>
      <c r="C304">
        <v>9</v>
      </c>
      <c r="D304" t="s">
        <v>147</v>
      </c>
      <c r="E304" t="s">
        <v>578</v>
      </c>
      <c r="F304">
        <v>1</v>
      </c>
      <c r="G304" t="s">
        <v>615</v>
      </c>
      <c r="H304" t="s">
        <v>618</v>
      </c>
      <c r="I304" t="s">
        <v>485</v>
      </c>
      <c r="O304">
        <v>1</v>
      </c>
      <c r="P304">
        <v>1</v>
      </c>
      <c r="Q304">
        <v>1</v>
      </c>
      <c r="T304">
        <v>0</v>
      </c>
      <c r="U304">
        <f t="shared" si="33"/>
        <v>4</v>
      </c>
      <c r="V304">
        <f t="shared" si="34"/>
        <v>3</v>
      </c>
      <c r="W304" s="4">
        <f t="shared" si="31"/>
        <v>0.75</v>
      </c>
      <c r="X304" s="4">
        <f t="shared" si="32"/>
        <v>37.5</v>
      </c>
      <c r="Y304" t="s">
        <v>617</v>
      </c>
      <c r="Z304">
        <f t="shared" si="35"/>
        <v>344</v>
      </c>
      <c r="AA304">
        <f>IF(X304&lt;50,1,0)</f>
        <v>1</v>
      </c>
    </row>
    <row r="305" spans="1:27" x14ac:dyDescent="0.2">
      <c r="A305">
        <v>3</v>
      </c>
      <c r="B305" t="s">
        <v>129</v>
      </c>
      <c r="C305">
        <v>9</v>
      </c>
      <c r="D305" t="s">
        <v>147</v>
      </c>
      <c r="E305" t="s">
        <v>578</v>
      </c>
      <c r="F305">
        <v>1</v>
      </c>
      <c r="G305" t="s">
        <v>615</v>
      </c>
      <c r="H305" t="s">
        <v>619</v>
      </c>
      <c r="I305" t="s">
        <v>485</v>
      </c>
      <c r="O305">
        <v>1</v>
      </c>
      <c r="P305">
        <v>1</v>
      </c>
      <c r="Q305">
        <v>1</v>
      </c>
      <c r="T305">
        <v>1</v>
      </c>
      <c r="U305">
        <f t="shared" si="33"/>
        <v>4</v>
      </c>
      <c r="V305">
        <f t="shared" si="34"/>
        <v>4</v>
      </c>
      <c r="W305" s="4">
        <f t="shared" si="31"/>
        <v>1</v>
      </c>
      <c r="X305" s="4">
        <f t="shared" si="32"/>
        <v>50</v>
      </c>
      <c r="Y305" t="s">
        <v>617</v>
      </c>
      <c r="Z305">
        <f t="shared" si="35"/>
        <v>249</v>
      </c>
      <c r="AA305">
        <f t="shared" ref="AA305:AA333" si="37">IF(X305&lt;50,1,0)</f>
        <v>0</v>
      </c>
    </row>
    <row r="306" spans="1:27" x14ac:dyDescent="0.2">
      <c r="A306">
        <v>1</v>
      </c>
      <c r="B306" t="s">
        <v>129</v>
      </c>
      <c r="C306">
        <v>9</v>
      </c>
      <c r="D306" t="s">
        <v>147</v>
      </c>
      <c r="E306" t="s">
        <v>578</v>
      </c>
      <c r="F306">
        <v>1</v>
      </c>
      <c r="G306" t="s">
        <v>620</v>
      </c>
      <c r="H306" t="s">
        <v>621</v>
      </c>
      <c r="I306" t="s">
        <v>485</v>
      </c>
      <c r="O306">
        <v>1</v>
      </c>
      <c r="P306">
        <v>1</v>
      </c>
      <c r="Q306">
        <v>1</v>
      </c>
      <c r="T306">
        <v>2</v>
      </c>
      <c r="U306">
        <f t="shared" si="33"/>
        <v>4</v>
      </c>
      <c r="V306">
        <f t="shared" si="34"/>
        <v>5</v>
      </c>
      <c r="W306" s="4">
        <f t="shared" si="31"/>
        <v>1.25</v>
      </c>
      <c r="X306" s="4">
        <f t="shared" si="32"/>
        <v>62.5</v>
      </c>
      <c r="Z306">
        <f t="shared" si="35"/>
        <v>423</v>
      </c>
      <c r="AA306">
        <f t="shared" si="37"/>
        <v>0</v>
      </c>
    </row>
    <row r="307" spans="1:27" x14ac:dyDescent="0.2">
      <c r="A307">
        <v>2</v>
      </c>
      <c r="B307" t="s">
        <v>129</v>
      </c>
      <c r="C307">
        <v>9</v>
      </c>
      <c r="D307" t="s">
        <v>147</v>
      </c>
      <c r="E307" t="s">
        <v>578</v>
      </c>
      <c r="F307">
        <v>1</v>
      </c>
      <c r="G307" t="s">
        <v>620</v>
      </c>
      <c r="H307" t="s">
        <v>622</v>
      </c>
      <c r="I307" t="s">
        <v>485</v>
      </c>
      <c r="O307">
        <v>1</v>
      </c>
      <c r="P307">
        <v>1</v>
      </c>
      <c r="Q307">
        <v>1</v>
      </c>
      <c r="T307">
        <v>2</v>
      </c>
      <c r="U307">
        <f t="shared" si="33"/>
        <v>4</v>
      </c>
      <c r="V307">
        <f t="shared" si="34"/>
        <v>5</v>
      </c>
      <c r="W307" s="4">
        <f t="shared" si="31"/>
        <v>1.25</v>
      </c>
      <c r="X307" s="4">
        <f t="shared" si="32"/>
        <v>62.5</v>
      </c>
      <c r="Z307">
        <f t="shared" si="35"/>
        <v>459</v>
      </c>
      <c r="AA307">
        <f t="shared" si="37"/>
        <v>0</v>
      </c>
    </row>
    <row r="308" spans="1:27" x14ac:dyDescent="0.2">
      <c r="A308">
        <v>3</v>
      </c>
      <c r="B308" t="s">
        <v>129</v>
      </c>
      <c r="C308">
        <v>9</v>
      </c>
      <c r="D308" t="s">
        <v>147</v>
      </c>
      <c r="E308" t="s">
        <v>578</v>
      </c>
      <c r="F308">
        <v>1</v>
      </c>
      <c r="G308" t="s">
        <v>620</v>
      </c>
      <c r="H308" t="s">
        <v>623</v>
      </c>
      <c r="I308" t="s">
        <v>485</v>
      </c>
      <c r="O308">
        <v>1</v>
      </c>
      <c r="P308">
        <v>1</v>
      </c>
      <c r="Q308">
        <v>1</v>
      </c>
      <c r="T308">
        <v>2</v>
      </c>
      <c r="U308">
        <f t="shared" si="33"/>
        <v>4</v>
      </c>
      <c r="V308">
        <f t="shared" si="34"/>
        <v>5</v>
      </c>
      <c r="W308" s="4">
        <f t="shared" si="31"/>
        <v>1.25</v>
      </c>
      <c r="X308" s="4">
        <f t="shared" si="32"/>
        <v>62.5</v>
      </c>
      <c r="Z308">
        <f t="shared" si="35"/>
        <v>428</v>
      </c>
      <c r="AA308">
        <f t="shared" si="37"/>
        <v>0</v>
      </c>
    </row>
    <row r="309" spans="1:27" x14ac:dyDescent="0.2">
      <c r="A309">
        <v>1</v>
      </c>
      <c r="B309" t="s">
        <v>129</v>
      </c>
      <c r="C309">
        <v>9</v>
      </c>
      <c r="D309" t="s">
        <v>147</v>
      </c>
      <c r="E309" t="s">
        <v>578</v>
      </c>
      <c r="F309">
        <v>1</v>
      </c>
      <c r="G309" t="s">
        <v>624</v>
      </c>
      <c r="H309" t="s">
        <v>625</v>
      </c>
      <c r="I309" t="s">
        <v>485</v>
      </c>
      <c r="O309">
        <v>1</v>
      </c>
      <c r="P309">
        <v>1</v>
      </c>
      <c r="Q309">
        <v>1</v>
      </c>
      <c r="T309">
        <v>2</v>
      </c>
      <c r="U309">
        <f t="shared" si="33"/>
        <v>4</v>
      </c>
      <c r="V309">
        <f t="shared" si="34"/>
        <v>5</v>
      </c>
      <c r="W309" s="4">
        <f t="shared" si="31"/>
        <v>1.25</v>
      </c>
      <c r="X309" s="4">
        <f t="shared" si="32"/>
        <v>62.5</v>
      </c>
      <c r="Z309">
        <f t="shared" si="35"/>
        <v>461</v>
      </c>
      <c r="AA309">
        <f t="shared" si="37"/>
        <v>0</v>
      </c>
    </row>
    <row r="310" spans="1:27" x14ac:dyDescent="0.2">
      <c r="A310">
        <v>2</v>
      </c>
      <c r="B310" t="s">
        <v>129</v>
      </c>
      <c r="C310">
        <v>9</v>
      </c>
      <c r="D310" t="s">
        <v>147</v>
      </c>
      <c r="E310" t="s">
        <v>578</v>
      </c>
      <c r="F310">
        <v>1</v>
      </c>
      <c r="G310" t="s">
        <v>624</v>
      </c>
      <c r="H310" t="s">
        <v>626</v>
      </c>
      <c r="I310" t="s">
        <v>485</v>
      </c>
      <c r="O310">
        <v>1</v>
      </c>
      <c r="P310">
        <v>1</v>
      </c>
      <c r="Q310">
        <v>1</v>
      </c>
      <c r="T310">
        <v>2</v>
      </c>
      <c r="U310">
        <f t="shared" si="33"/>
        <v>4</v>
      </c>
      <c r="V310">
        <f t="shared" si="34"/>
        <v>5</v>
      </c>
      <c r="W310" s="4">
        <f t="shared" si="31"/>
        <v>1.25</v>
      </c>
      <c r="X310" s="4">
        <f t="shared" si="32"/>
        <v>62.5</v>
      </c>
      <c r="Z310">
        <f t="shared" si="35"/>
        <v>375</v>
      </c>
      <c r="AA310">
        <f t="shared" si="37"/>
        <v>0</v>
      </c>
    </row>
    <row r="311" spans="1:27" x14ac:dyDescent="0.2">
      <c r="A311">
        <v>3</v>
      </c>
      <c r="B311" t="s">
        <v>129</v>
      </c>
      <c r="C311">
        <v>9</v>
      </c>
      <c r="D311" t="s">
        <v>147</v>
      </c>
      <c r="E311" t="s">
        <v>578</v>
      </c>
      <c r="F311">
        <v>1</v>
      </c>
      <c r="G311" t="s">
        <v>624</v>
      </c>
      <c r="H311" t="s">
        <v>627</v>
      </c>
      <c r="I311" t="s">
        <v>485</v>
      </c>
      <c r="O311">
        <v>1</v>
      </c>
      <c r="P311">
        <v>1</v>
      </c>
      <c r="Q311">
        <v>1</v>
      </c>
      <c r="T311">
        <v>2</v>
      </c>
      <c r="U311">
        <f t="shared" si="33"/>
        <v>4</v>
      </c>
      <c r="V311">
        <f t="shared" si="34"/>
        <v>5</v>
      </c>
      <c r="W311" s="4">
        <f t="shared" si="31"/>
        <v>1.25</v>
      </c>
      <c r="X311" s="4">
        <f t="shared" si="32"/>
        <v>62.5</v>
      </c>
      <c r="Z311">
        <f t="shared" si="35"/>
        <v>485</v>
      </c>
      <c r="AA311">
        <f t="shared" si="37"/>
        <v>0</v>
      </c>
    </row>
    <row r="312" spans="1:27" x14ac:dyDescent="0.2">
      <c r="A312">
        <v>1</v>
      </c>
      <c r="B312" t="s">
        <v>129</v>
      </c>
      <c r="C312">
        <v>9</v>
      </c>
      <c r="D312" t="s">
        <v>147</v>
      </c>
      <c r="E312" t="s">
        <v>578</v>
      </c>
      <c r="F312">
        <v>1</v>
      </c>
      <c r="G312" t="s">
        <v>628</v>
      </c>
      <c r="H312" t="s">
        <v>629</v>
      </c>
      <c r="I312" t="s">
        <v>485</v>
      </c>
      <c r="O312">
        <v>2</v>
      </c>
      <c r="P312">
        <v>2</v>
      </c>
      <c r="Q312">
        <v>2</v>
      </c>
      <c r="T312">
        <v>2</v>
      </c>
      <c r="U312">
        <f t="shared" si="33"/>
        <v>4</v>
      </c>
      <c r="V312">
        <f t="shared" si="34"/>
        <v>8</v>
      </c>
      <c r="W312" s="4">
        <f t="shared" si="31"/>
        <v>2</v>
      </c>
      <c r="X312" s="4">
        <f t="shared" si="32"/>
        <v>100</v>
      </c>
      <c r="Y312" t="s">
        <v>630</v>
      </c>
      <c r="Z312">
        <f t="shared" si="35"/>
        <v>750</v>
      </c>
      <c r="AA312">
        <f t="shared" si="37"/>
        <v>0</v>
      </c>
    </row>
    <row r="313" spans="1:27" x14ac:dyDescent="0.2">
      <c r="A313">
        <v>2</v>
      </c>
      <c r="B313" t="s">
        <v>129</v>
      </c>
      <c r="C313">
        <v>9</v>
      </c>
      <c r="D313" t="s">
        <v>147</v>
      </c>
      <c r="E313" t="s">
        <v>578</v>
      </c>
      <c r="F313">
        <v>1</v>
      </c>
      <c r="G313" t="s">
        <v>628</v>
      </c>
      <c r="H313" t="s">
        <v>631</v>
      </c>
      <c r="I313" t="s">
        <v>485</v>
      </c>
      <c r="O313">
        <v>1</v>
      </c>
      <c r="P313">
        <v>1</v>
      </c>
      <c r="Q313">
        <v>1</v>
      </c>
      <c r="T313">
        <v>1</v>
      </c>
      <c r="U313">
        <f t="shared" si="33"/>
        <v>4</v>
      </c>
      <c r="V313">
        <f t="shared" si="34"/>
        <v>4</v>
      </c>
      <c r="W313" s="4">
        <f t="shared" si="31"/>
        <v>1</v>
      </c>
      <c r="X313" s="4">
        <f t="shared" si="32"/>
        <v>50</v>
      </c>
      <c r="Z313">
        <f t="shared" si="35"/>
        <v>362</v>
      </c>
      <c r="AA313">
        <f t="shared" si="37"/>
        <v>0</v>
      </c>
    </row>
    <row r="314" spans="1:27" x14ac:dyDescent="0.2">
      <c r="A314">
        <v>3</v>
      </c>
      <c r="B314" t="s">
        <v>129</v>
      </c>
      <c r="C314">
        <v>9</v>
      </c>
      <c r="D314" t="s">
        <v>147</v>
      </c>
      <c r="E314" t="s">
        <v>578</v>
      </c>
      <c r="F314">
        <v>1</v>
      </c>
      <c r="G314" t="s">
        <v>628</v>
      </c>
      <c r="H314" t="s">
        <v>632</v>
      </c>
      <c r="I314" t="s">
        <v>485</v>
      </c>
      <c r="O314">
        <v>1</v>
      </c>
      <c r="P314">
        <v>1</v>
      </c>
      <c r="Q314">
        <v>1</v>
      </c>
      <c r="T314">
        <v>1</v>
      </c>
      <c r="U314">
        <f t="shared" si="33"/>
        <v>4</v>
      </c>
      <c r="V314">
        <f t="shared" si="34"/>
        <v>4</v>
      </c>
      <c r="W314" s="4">
        <f t="shared" si="31"/>
        <v>1</v>
      </c>
      <c r="X314" s="4">
        <f t="shared" si="32"/>
        <v>50</v>
      </c>
      <c r="Z314">
        <f t="shared" si="35"/>
        <v>420</v>
      </c>
      <c r="AA314">
        <f t="shared" si="37"/>
        <v>0</v>
      </c>
    </row>
    <row r="315" spans="1:27" x14ac:dyDescent="0.2">
      <c r="A315">
        <v>1</v>
      </c>
      <c r="B315" t="s">
        <v>129</v>
      </c>
      <c r="C315">
        <v>9</v>
      </c>
      <c r="D315" t="s">
        <v>147</v>
      </c>
      <c r="E315" t="s">
        <v>578</v>
      </c>
      <c r="F315">
        <v>1</v>
      </c>
      <c r="G315" t="s">
        <v>633</v>
      </c>
      <c r="H315" t="s">
        <v>634</v>
      </c>
      <c r="I315" t="s">
        <v>485</v>
      </c>
      <c r="O315">
        <v>2</v>
      </c>
      <c r="P315">
        <v>2</v>
      </c>
      <c r="Q315">
        <v>2</v>
      </c>
      <c r="T315">
        <v>2</v>
      </c>
      <c r="U315">
        <f t="shared" si="33"/>
        <v>4</v>
      </c>
      <c r="V315">
        <f t="shared" si="34"/>
        <v>8</v>
      </c>
      <c r="W315" s="4">
        <f t="shared" si="31"/>
        <v>2</v>
      </c>
      <c r="X315" s="4">
        <f t="shared" si="32"/>
        <v>100</v>
      </c>
      <c r="Y315" t="s">
        <v>635</v>
      </c>
      <c r="Z315">
        <f t="shared" si="35"/>
        <v>754</v>
      </c>
      <c r="AA315">
        <f t="shared" si="37"/>
        <v>0</v>
      </c>
    </row>
    <row r="316" spans="1:27" x14ac:dyDescent="0.2">
      <c r="A316">
        <v>2</v>
      </c>
      <c r="B316" t="s">
        <v>129</v>
      </c>
      <c r="C316">
        <v>9</v>
      </c>
      <c r="D316" t="s">
        <v>147</v>
      </c>
      <c r="E316" t="s">
        <v>578</v>
      </c>
      <c r="F316">
        <v>1</v>
      </c>
      <c r="G316" t="s">
        <v>633</v>
      </c>
      <c r="H316" t="s">
        <v>636</v>
      </c>
      <c r="I316" t="s">
        <v>485</v>
      </c>
      <c r="O316">
        <v>2</v>
      </c>
      <c r="P316">
        <v>2</v>
      </c>
      <c r="Q316">
        <v>2</v>
      </c>
      <c r="T316">
        <v>2</v>
      </c>
      <c r="U316">
        <f t="shared" si="33"/>
        <v>4</v>
      </c>
      <c r="V316">
        <f t="shared" si="34"/>
        <v>8</v>
      </c>
      <c r="W316" s="4">
        <f t="shared" si="31"/>
        <v>2</v>
      </c>
      <c r="X316" s="4">
        <f t="shared" si="32"/>
        <v>100</v>
      </c>
      <c r="Y316" t="s">
        <v>637</v>
      </c>
      <c r="Z316">
        <f t="shared" si="35"/>
        <v>871</v>
      </c>
      <c r="AA316">
        <f t="shared" si="37"/>
        <v>0</v>
      </c>
    </row>
    <row r="317" spans="1:27" x14ac:dyDescent="0.2">
      <c r="A317">
        <v>3</v>
      </c>
      <c r="B317" t="s">
        <v>129</v>
      </c>
      <c r="C317">
        <v>9</v>
      </c>
      <c r="D317" t="s">
        <v>147</v>
      </c>
      <c r="E317" t="s">
        <v>578</v>
      </c>
      <c r="F317">
        <v>1</v>
      </c>
      <c r="G317" t="s">
        <v>633</v>
      </c>
      <c r="H317" t="s">
        <v>638</v>
      </c>
      <c r="I317" t="s">
        <v>485</v>
      </c>
      <c r="O317">
        <v>2</v>
      </c>
      <c r="P317">
        <v>2</v>
      </c>
      <c r="Q317">
        <v>2</v>
      </c>
      <c r="T317">
        <v>2</v>
      </c>
      <c r="U317">
        <f t="shared" si="33"/>
        <v>4</v>
      </c>
      <c r="V317">
        <f t="shared" si="34"/>
        <v>8</v>
      </c>
      <c r="W317" s="4">
        <f t="shared" si="31"/>
        <v>2</v>
      </c>
      <c r="X317" s="4">
        <f t="shared" si="32"/>
        <v>100</v>
      </c>
      <c r="Y317" t="s">
        <v>635</v>
      </c>
      <c r="Z317">
        <f t="shared" si="35"/>
        <v>855</v>
      </c>
      <c r="AA317">
        <f t="shared" si="37"/>
        <v>0</v>
      </c>
    </row>
    <row r="318" spans="1:27" x14ac:dyDescent="0.2">
      <c r="A318">
        <v>1</v>
      </c>
      <c r="B318" t="s">
        <v>129</v>
      </c>
      <c r="C318">
        <v>9</v>
      </c>
      <c r="D318" t="s">
        <v>147</v>
      </c>
      <c r="E318" t="s">
        <v>578</v>
      </c>
      <c r="F318">
        <v>1</v>
      </c>
      <c r="G318" t="s">
        <v>639</v>
      </c>
      <c r="H318" t="s">
        <v>640</v>
      </c>
      <c r="I318" t="s">
        <v>485</v>
      </c>
      <c r="O318">
        <v>2</v>
      </c>
      <c r="P318">
        <v>2</v>
      </c>
      <c r="Q318">
        <v>2</v>
      </c>
      <c r="T318">
        <v>2</v>
      </c>
      <c r="U318">
        <f t="shared" si="33"/>
        <v>4</v>
      </c>
      <c r="V318">
        <f t="shared" si="34"/>
        <v>8</v>
      </c>
      <c r="W318" s="4">
        <f t="shared" si="31"/>
        <v>2</v>
      </c>
      <c r="X318" s="4">
        <f t="shared" si="32"/>
        <v>100</v>
      </c>
      <c r="Z318">
        <f t="shared" si="35"/>
        <v>640</v>
      </c>
      <c r="AA318">
        <f t="shared" si="37"/>
        <v>0</v>
      </c>
    </row>
    <row r="319" spans="1:27" x14ac:dyDescent="0.2">
      <c r="A319">
        <v>2</v>
      </c>
      <c r="B319" t="s">
        <v>129</v>
      </c>
      <c r="C319">
        <v>9</v>
      </c>
      <c r="D319" t="s">
        <v>147</v>
      </c>
      <c r="E319" t="s">
        <v>578</v>
      </c>
      <c r="F319">
        <v>1</v>
      </c>
      <c r="G319" t="s">
        <v>639</v>
      </c>
      <c r="H319" t="s">
        <v>641</v>
      </c>
      <c r="I319" t="s">
        <v>485</v>
      </c>
      <c r="O319">
        <v>1</v>
      </c>
      <c r="P319">
        <v>1</v>
      </c>
      <c r="Q319">
        <v>1</v>
      </c>
      <c r="T319">
        <v>1</v>
      </c>
      <c r="U319">
        <f t="shared" si="33"/>
        <v>4</v>
      </c>
      <c r="V319">
        <f t="shared" si="34"/>
        <v>4</v>
      </c>
      <c r="W319" s="4">
        <f t="shared" si="31"/>
        <v>1</v>
      </c>
      <c r="X319" s="4">
        <f t="shared" si="32"/>
        <v>50</v>
      </c>
      <c r="Y319" t="s">
        <v>642</v>
      </c>
      <c r="Z319">
        <f t="shared" si="35"/>
        <v>394</v>
      </c>
      <c r="AA319">
        <f t="shared" si="37"/>
        <v>0</v>
      </c>
    </row>
    <row r="320" spans="1:27" x14ac:dyDescent="0.2">
      <c r="A320">
        <v>3</v>
      </c>
      <c r="B320" t="s">
        <v>129</v>
      </c>
      <c r="C320">
        <v>9</v>
      </c>
      <c r="D320" t="s">
        <v>147</v>
      </c>
      <c r="E320" t="s">
        <v>578</v>
      </c>
      <c r="F320">
        <v>1</v>
      </c>
      <c r="G320" t="s">
        <v>639</v>
      </c>
      <c r="H320" t="s">
        <v>643</v>
      </c>
      <c r="I320" t="s">
        <v>485</v>
      </c>
      <c r="O320">
        <v>2</v>
      </c>
      <c r="P320">
        <v>2</v>
      </c>
      <c r="Q320">
        <v>2</v>
      </c>
      <c r="T320">
        <v>2</v>
      </c>
      <c r="U320">
        <f t="shared" si="33"/>
        <v>4</v>
      </c>
      <c r="V320">
        <f t="shared" si="34"/>
        <v>8</v>
      </c>
      <c r="W320" s="4">
        <f t="shared" si="31"/>
        <v>2</v>
      </c>
      <c r="X320" s="4">
        <f t="shared" si="32"/>
        <v>100</v>
      </c>
      <c r="Z320">
        <f t="shared" si="35"/>
        <v>798</v>
      </c>
      <c r="AA320">
        <f t="shared" si="37"/>
        <v>0</v>
      </c>
    </row>
    <row r="321" spans="1:27" x14ac:dyDescent="0.2">
      <c r="A321">
        <v>1</v>
      </c>
      <c r="B321" t="s">
        <v>129</v>
      </c>
      <c r="C321">
        <v>9</v>
      </c>
      <c r="D321" t="s">
        <v>147</v>
      </c>
      <c r="E321" t="s">
        <v>578</v>
      </c>
      <c r="F321">
        <v>1</v>
      </c>
      <c r="G321" t="s">
        <v>644</v>
      </c>
      <c r="H321" t="s">
        <v>645</v>
      </c>
      <c r="I321" t="s">
        <v>485</v>
      </c>
      <c r="O321">
        <v>2</v>
      </c>
      <c r="P321">
        <v>2</v>
      </c>
      <c r="Q321">
        <v>2</v>
      </c>
      <c r="T321">
        <v>2</v>
      </c>
      <c r="U321">
        <f t="shared" si="33"/>
        <v>4</v>
      </c>
      <c r="V321">
        <f t="shared" si="34"/>
        <v>8</v>
      </c>
      <c r="W321" s="4">
        <f t="shared" si="31"/>
        <v>2</v>
      </c>
      <c r="X321" s="4">
        <f t="shared" si="32"/>
        <v>100</v>
      </c>
      <c r="Z321">
        <f t="shared" si="35"/>
        <v>840</v>
      </c>
      <c r="AA321">
        <f t="shared" si="37"/>
        <v>0</v>
      </c>
    </row>
    <row r="322" spans="1:27" x14ac:dyDescent="0.2">
      <c r="A322">
        <v>2</v>
      </c>
      <c r="B322" t="s">
        <v>129</v>
      </c>
      <c r="C322">
        <v>9</v>
      </c>
      <c r="D322" t="s">
        <v>147</v>
      </c>
      <c r="E322" t="s">
        <v>578</v>
      </c>
      <c r="F322">
        <v>1</v>
      </c>
      <c r="G322" t="s">
        <v>644</v>
      </c>
      <c r="H322" t="s">
        <v>646</v>
      </c>
      <c r="I322" t="s">
        <v>485</v>
      </c>
      <c r="O322">
        <v>2</v>
      </c>
      <c r="P322">
        <v>2</v>
      </c>
      <c r="Q322">
        <v>2</v>
      </c>
      <c r="T322">
        <v>2</v>
      </c>
      <c r="U322">
        <f t="shared" si="33"/>
        <v>4</v>
      </c>
      <c r="V322">
        <f t="shared" si="34"/>
        <v>8</v>
      </c>
      <c r="W322" s="4">
        <f t="shared" ref="W322:W385" si="38">IF(U322=0,"",V322/U322)</f>
        <v>2</v>
      </c>
      <c r="X322" s="4">
        <f t="shared" ref="X322:X385" si="39">IF(W322="","",W322/2*100)</f>
        <v>100</v>
      </c>
      <c r="Z322">
        <f t="shared" si="35"/>
        <v>703</v>
      </c>
      <c r="AA322">
        <f t="shared" si="37"/>
        <v>0</v>
      </c>
    </row>
    <row r="323" spans="1:27" x14ac:dyDescent="0.2">
      <c r="A323">
        <v>3</v>
      </c>
      <c r="B323" t="s">
        <v>129</v>
      </c>
      <c r="C323">
        <v>9</v>
      </c>
      <c r="D323" t="s">
        <v>147</v>
      </c>
      <c r="E323" t="s">
        <v>578</v>
      </c>
      <c r="F323">
        <v>1</v>
      </c>
      <c r="G323" t="s">
        <v>644</v>
      </c>
      <c r="H323" t="s">
        <v>647</v>
      </c>
      <c r="I323" t="s">
        <v>485</v>
      </c>
      <c r="O323">
        <v>2</v>
      </c>
      <c r="P323">
        <v>2</v>
      </c>
      <c r="Q323">
        <v>2</v>
      </c>
      <c r="T323">
        <v>2</v>
      </c>
      <c r="U323">
        <f t="shared" ref="U323:U386" si="40">COUNT(J323:T323)</f>
        <v>4</v>
      </c>
      <c r="V323">
        <f t="shared" ref="V323:V386" si="41">SUM(J323:T323)</f>
        <v>8</v>
      </c>
      <c r="W323" s="4">
        <f t="shared" si="38"/>
        <v>2</v>
      </c>
      <c r="X323" s="4">
        <f t="shared" si="39"/>
        <v>100</v>
      </c>
      <c r="Z323">
        <f t="shared" ref="Z323:Z386" si="42">LEN(H323)</f>
        <v>860</v>
      </c>
      <c r="AA323">
        <f t="shared" si="37"/>
        <v>0</v>
      </c>
    </row>
    <row r="324" spans="1:27" x14ac:dyDescent="0.2">
      <c r="A324">
        <v>1</v>
      </c>
      <c r="B324" t="s">
        <v>129</v>
      </c>
      <c r="C324">
        <v>9</v>
      </c>
      <c r="D324" t="s">
        <v>147</v>
      </c>
      <c r="E324" t="s">
        <v>578</v>
      </c>
      <c r="F324">
        <v>1</v>
      </c>
      <c r="G324" t="s">
        <v>648</v>
      </c>
      <c r="H324" t="s">
        <v>649</v>
      </c>
      <c r="I324" t="s">
        <v>485</v>
      </c>
      <c r="O324">
        <v>2</v>
      </c>
      <c r="P324">
        <v>1</v>
      </c>
      <c r="Q324">
        <v>2</v>
      </c>
      <c r="T324">
        <v>2</v>
      </c>
      <c r="U324">
        <f t="shared" si="40"/>
        <v>4</v>
      </c>
      <c r="V324">
        <f t="shared" si="41"/>
        <v>7</v>
      </c>
      <c r="W324" s="4">
        <f t="shared" si="38"/>
        <v>1.75</v>
      </c>
      <c r="X324" s="4">
        <f t="shared" si="39"/>
        <v>87.5</v>
      </c>
      <c r="Z324">
        <f t="shared" si="42"/>
        <v>806</v>
      </c>
      <c r="AA324">
        <f t="shared" si="37"/>
        <v>0</v>
      </c>
    </row>
    <row r="325" spans="1:27" x14ac:dyDescent="0.2">
      <c r="A325">
        <v>2</v>
      </c>
      <c r="B325" t="s">
        <v>129</v>
      </c>
      <c r="C325">
        <v>9</v>
      </c>
      <c r="D325" t="s">
        <v>147</v>
      </c>
      <c r="E325" t="s">
        <v>578</v>
      </c>
      <c r="F325">
        <v>1</v>
      </c>
      <c r="G325" t="s">
        <v>648</v>
      </c>
      <c r="H325" t="s">
        <v>650</v>
      </c>
      <c r="I325" t="s">
        <v>485</v>
      </c>
      <c r="O325">
        <v>2</v>
      </c>
      <c r="P325">
        <v>1</v>
      </c>
      <c r="Q325">
        <v>2</v>
      </c>
      <c r="T325">
        <v>2</v>
      </c>
      <c r="U325">
        <f t="shared" si="40"/>
        <v>4</v>
      </c>
      <c r="V325">
        <f t="shared" si="41"/>
        <v>7</v>
      </c>
      <c r="W325" s="4">
        <f t="shared" si="38"/>
        <v>1.75</v>
      </c>
      <c r="X325" s="4">
        <f t="shared" si="39"/>
        <v>87.5</v>
      </c>
      <c r="Z325">
        <f t="shared" si="42"/>
        <v>861</v>
      </c>
      <c r="AA325">
        <f t="shared" si="37"/>
        <v>0</v>
      </c>
    </row>
    <row r="326" spans="1:27" x14ac:dyDescent="0.2">
      <c r="A326">
        <v>3</v>
      </c>
      <c r="B326" t="s">
        <v>129</v>
      </c>
      <c r="C326">
        <v>9</v>
      </c>
      <c r="D326" t="s">
        <v>147</v>
      </c>
      <c r="E326" t="s">
        <v>578</v>
      </c>
      <c r="F326">
        <v>1</v>
      </c>
      <c r="G326" t="s">
        <v>648</v>
      </c>
      <c r="H326" t="s">
        <v>651</v>
      </c>
      <c r="I326" t="s">
        <v>485</v>
      </c>
      <c r="O326">
        <v>2</v>
      </c>
      <c r="P326">
        <v>2</v>
      </c>
      <c r="Q326">
        <v>2</v>
      </c>
      <c r="T326">
        <v>2</v>
      </c>
      <c r="U326">
        <f t="shared" si="40"/>
        <v>4</v>
      </c>
      <c r="V326">
        <f t="shared" si="41"/>
        <v>8</v>
      </c>
      <c r="W326" s="4">
        <f t="shared" si="38"/>
        <v>2</v>
      </c>
      <c r="X326" s="4">
        <f t="shared" si="39"/>
        <v>100</v>
      </c>
      <c r="Y326" t="s">
        <v>652</v>
      </c>
      <c r="Z326">
        <f t="shared" si="42"/>
        <v>843</v>
      </c>
      <c r="AA326">
        <f t="shared" si="37"/>
        <v>0</v>
      </c>
    </row>
    <row r="327" spans="1:27" x14ac:dyDescent="0.2">
      <c r="A327">
        <v>1</v>
      </c>
      <c r="B327" t="s">
        <v>129</v>
      </c>
      <c r="C327">
        <v>9</v>
      </c>
      <c r="D327" t="s">
        <v>147</v>
      </c>
      <c r="E327" t="s">
        <v>578</v>
      </c>
      <c r="F327">
        <v>1</v>
      </c>
      <c r="G327" t="s">
        <v>653</v>
      </c>
      <c r="H327" t="s">
        <v>654</v>
      </c>
      <c r="I327" t="s">
        <v>485</v>
      </c>
      <c r="O327">
        <v>2</v>
      </c>
      <c r="P327">
        <v>2</v>
      </c>
      <c r="Q327">
        <v>2</v>
      </c>
      <c r="T327">
        <v>2</v>
      </c>
      <c r="U327">
        <f t="shared" si="40"/>
        <v>4</v>
      </c>
      <c r="V327">
        <f t="shared" si="41"/>
        <v>8</v>
      </c>
      <c r="W327" s="4">
        <f t="shared" si="38"/>
        <v>2</v>
      </c>
      <c r="X327" s="4">
        <f t="shared" si="39"/>
        <v>100</v>
      </c>
      <c r="Z327">
        <f t="shared" si="42"/>
        <v>926</v>
      </c>
      <c r="AA327">
        <f t="shared" si="37"/>
        <v>0</v>
      </c>
    </row>
    <row r="328" spans="1:27" x14ac:dyDescent="0.2">
      <c r="A328">
        <v>2</v>
      </c>
      <c r="B328" t="s">
        <v>129</v>
      </c>
      <c r="C328">
        <v>9</v>
      </c>
      <c r="D328" t="s">
        <v>147</v>
      </c>
      <c r="E328" t="s">
        <v>578</v>
      </c>
      <c r="F328">
        <v>1</v>
      </c>
      <c r="G328" t="s">
        <v>653</v>
      </c>
      <c r="H328" t="s">
        <v>655</v>
      </c>
      <c r="I328" t="s">
        <v>485</v>
      </c>
      <c r="O328">
        <v>1</v>
      </c>
      <c r="P328">
        <v>1</v>
      </c>
      <c r="Q328">
        <v>1</v>
      </c>
      <c r="T328">
        <v>0</v>
      </c>
      <c r="U328">
        <f t="shared" si="40"/>
        <v>4</v>
      </c>
      <c r="V328">
        <f t="shared" si="41"/>
        <v>3</v>
      </c>
      <c r="W328" s="4">
        <f t="shared" si="38"/>
        <v>0.75</v>
      </c>
      <c r="X328" s="4">
        <f t="shared" si="39"/>
        <v>37.5</v>
      </c>
      <c r="Z328">
        <f t="shared" si="42"/>
        <v>341</v>
      </c>
      <c r="AA328">
        <f t="shared" si="37"/>
        <v>1</v>
      </c>
    </row>
    <row r="329" spans="1:27" x14ac:dyDescent="0.2">
      <c r="A329">
        <v>3</v>
      </c>
      <c r="B329" t="s">
        <v>129</v>
      </c>
      <c r="C329">
        <v>9</v>
      </c>
      <c r="D329" t="s">
        <v>147</v>
      </c>
      <c r="E329" t="s">
        <v>578</v>
      </c>
      <c r="F329">
        <v>1</v>
      </c>
      <c r="G329" t="s">
        <v>653</v>
      </c>
      <c r="H329" t="s">
        <v>656</v>
      </c>
      <c r="I329" t="s">
        <v>485</v>
      </c>
      <c r="O329">
        <v>1</v>
      </c>
      <c r="P329">
        <v>1</v>
      </c>
      <c r="Q329">
        <v>1</v>
      </c>
      <c r="T329">
        <v>1</v>
      </c>
      <c r="U329">
        <f t="shared" si="40"/>
        <v>4</v>
      </c>
      <c r="V329">
        <f t="shared" si="41"/>
        <v>4</v>
      </c>
      <c r="W329" s="4">
        <f t="shared" si="38"/>
        <v>1</v>
      </c>
      <c r="X329" s="4">
        <f t="shared" si="39"/>
        <v>50</v>
      </c>
      <c r="Z329">
        <f t="shared" si="42"/>
        <v>375</v>
      </c>
      <c r="AA329">
        <f t="shared" si="37"/>
        <v>0</v>
      </c>
    </row>
    <row r="330" spans="1:27" x14ac:dyDescent="0.2">
      <c r="A330">
        <v>1</v>
      </c>
      <c r="B330" t="s">
        <v>129</v>
      </c>
      <c r="C330">
        <v>9</v>
      </c>
      <c r="D330" t="s">
        <v>147</v>
      </c>
      <c r="E330" t="s">
        <v>578</v>
      </c>
      <c r="F330">
        <v>1</v>
      </c>
      <c r="G330" t="s">
        <v>657</v>
      </c>
      <c r="H330" t="s">
        <v>658</v>
      </c>
      <c r="I330" t="s">
        <v>485</v>
      </c>
      <c r="O330">
        <v>2</v>
      </c>
      <c r="P330">
        <v>2</v>
      </c>
      <c r="Q330">
        <v>2</v>
      </c>
      <c r="T330">
        <v>2</v>
      </c>
      <c r="U330">
        <f t="shared" si="40"/>
        <v>4</v>
      </c>
      <c r="V330">
        <f t="shared" si="41"/>
        <v>8</v>
      </c>
      <c r="W330" s="4">
        <f t="shared" si="38"/>
        <v>2</v>
      </c>
      <c r="X330" s="4">
        <f t="shared" si="39"/>
        <v>100</v>
      </c>
      <c r="Z330">
        <f t="shared" si="42"/>
        <v>747</v>
      </c>
      <c r="AA330">
        <f t="shared" si="37"/>
        <v>0</v>
      </c>
    </row>
    <row r="331" spans="1:27" x14ac:dyDescent="0.2">
      <c r="A331">
        <v>2</v>
      </c>
      <c r="B331" t="s">
        <v>129</v>
      </c>
      <c r="C331">
        <v>9</v>
      </c>
      <c r="D331" t="s">
        <v>147</v>
      </c>
      <c r="E331" t="s">
        <v>578</v>
      </c>
      <c r="F331">
        <v>1</v>
      </c>
      <c r="G331" t="s">
        <v>657</v>
      </c>
      <c r="H331" t="s">
        <v>659</v>
      </c>
      <c r="I331" t="s">
        <v>485</v>
      </c>
      <c r="O331">
        <v>2</v>
      </c>
      <c r="P331">
        <v>2</v>
      </c>
      <c r="Q331">
        <v>2</v>
      </c>
      <c r="T331">
        <v>2</v>
      </c>
      <c r="U331">
        <f t="shared" si="40"/>
        <v>4</v>
      </c>
      <c r="V331">
        <f t="shared" si="41"/>
        <v>8</v>
      </c>
      <c r="W331" s="4">
        <f t="shared" si="38"/>
        <v>2</v>
      </c>
      <c r="X331" s="4">
        <f t="shared" si="39"/>
        <v>100</v>
      </c>
      <c r="Z331">
        <f t="shared" si="42"/>
        <v>940</v>
      </c>
      <c r="AA331">
        <f t="shared" si="37"/>
        <v>0</v>
      </c>
    </row>
    <row r="332" spans="1:27" x14ac:dyDescent="0.2">
      <c r="A332">
        <v>3</v>
      </c>
      <c r="B332" t="s">
        <v>129</v>
      </c>
      <c r="C332">
        <v>9</v>
      </c>
      <c r="D332" t="s">
        <v>147</v>
      </c>
      <c r="E332" t="s">
        <v>578</v>
      </c>
      <c r="F332">
        <v>1</v>
      </c>
      <c r="G332" t="s">
        <v>657</v>
      </c>
      <c r="H332" t="s">
        <v>660</v>
      </c>
      <c r="I332" t="s">
        <v>485</v>
      </c>
      <c r="O332">
        <v>2</v>
      </c>
      <c r="P332">
        <v>2</v>
      </c>
      <c r="Q332">
        <v>2</v>
      </c>
      <c r="T332">
        <v>2</v>
      </c>
      <c r="U332">
        <f t="shared" si="40"/>
        <v>4</v>
      </c>
      <c r="V332">
        <f t="shared" si="41"/>
        <v>8</v>
      </c>
      <c r="W332" s="4">
        <f t="shared" si="38"/>
        <v>2</v>
      </c>
      <c r="X332" s="4">
        <f t="shared" si="39"/>
        <v>100</v>
      </c>
      <c r="Z332">
        <f t="shared" si="42"/>
        <v>886</v>
      </c>
      <c r="AA332">
        <f t="shared" si="37"/>
        <v>0</v>
      </c>
    </row>
    <row r="333" spans="1:27" x14ac:dyDescent="0.2">
      <c r="A333">
        <v>1</v>
      </c>
      <c r="B333" t="s">
        <v>129</v>
      </c>
      <c r="C333">
        <v>9</v>
      </c>
      <c r="D333" t="s">
        <v>147</v>
      </c>
      <c r="E333" t="s">
        <v>578</v>
      </c>
      <c r="F333">
        <v>1</v>
      </c>
      <c r="G333" t="s">
        <v>661</v>
      </c>
      <c r="H333" t="s">
        <v>662</v>
      </c>
      <c r="I333" t="s">
        <v>485</v>
      </c>
      <c r="O333">
        <v>2</v>
      </c>
      <c r="P333">
        <v>2</v>
      </c>
      <c r="Q333">
        <v>2</v>
      </c>
      <c r="T333">
        <v>1</v>
      </c>
      <c r="U333">
        <f t="shared" si="40"/>
        <v>4</v>
      </c>
      <c r="V333">
        <f t="shared" si="41"/>
        <v>7</v>
      </c>
      <c r="W333" s="4">
        <f t="shared" si="38"/>
        <v>1.75</v>
      </c>
      <c r="X333" s="4">
        <f t="shared" si="39"/>
        <v>87.5</v>
      </c>
      <c r="Z333">
        <f t="shared" si="42"/>
        <v>756</v>
      </c>
      <c r="AA333">
        <f t="shared" si="37"/>
        <v>0</v>
      </c>
    </row>
    <row r="334" spans="1:27" x14ac:dyDescent="0.2">
      <c r="A334">
        <v>2</v>
      </c>
      <c r="B334" t="s">
        <v>129</v>
      </c>
      <c r="C334">
        <v>9</v>
      </c>
      <c r="D334" t="s">
        <v>147</v>
      </c>
      <c r="E334" t="s">
        <v>578</v>
      </c>
      <c r="F334">
        <v>1</v>
      </c>
      <c r="G334" t="s">
        <v>661</v>
      </c>
      <c r="H334" t="s">
        <v>663</v>
      </c>
      <c r="I334" t="s">
        <v>485</v>
      </c>
      <c r="O334">
        <v>2</v>
      </c>
      <c r="P334">
        <v>2</v>
      </c>
      <c r="Q334">
        <v>1</v>
      </c>
      <c r="T334">
        <v>1</v>
      </c>
      <c r="U334">
        <f t="shared" si="40"/>
        <v>4</v>
      </c>
      <c r="V334">
        <f t="shared" si="41"/>
        <v>6</v>
      </c>
      <c r="W334" s="4">
        <f t="shared" si="38"/>
        <v>1.5</v>
      </c>
      <c r="X334" s="4">
        <f t="shared" si="39"/>
        <v>75</v>
      </c>
      <c r="Y334" t="s">
        <v>323</v>
      </c>
      <c r="Z334">
        <f t="shared" si="42"/>
        <v>800</v>
      </c>
      <c r="AA334">
        <f>IF(X334&lt;50,1,0)</f>
        <v>0</v>
      </c>
    </row>
    <row r="335" spans="1:27" x14ac:dyDescent="0.2">
      <c r="A335">
        <v>3</v>
      </c>
      <c r="B335" t="s">
        <v>129</v>
      </c>
      <c r="C335">
        <v>9</v>
      </c>
      <c r="D335" t="s">
        <v>147</v>
      </c>
      <c r="E335" t="s">
        <v>578</v>
      </c>
      <c r="F335">
        <v>1</v>
      </c>
      <c r="G335" t="s">
        <v>661</v>
      </c>
      <c r="H335" t="s">
        <v>664</v>
      </c>
      <c r="I335" t="s">
        <v>485</v>
      </c>
      <c r="O335">
        <v>2</v>
      </c>
      <c r="P335">
        <v>2</v>
      </c>
      <c r="Q335">
        <v>2</v>
      </c>
      <c r="T335">
        <v>2</v>
      </c>
      <c r="U335">
        <f t="shared" si="40"/>
        <v>4</v>
      </c>
      <c r="V335">
        <f t="shared" si="41"/>
        <v>8</v>
      </c>
      <c r="W335" s="4">
        <f t="shared" si="38"/>
        <v>2</v>
      </c>
      <c r="X335" s="4">
        <f t="shared" si="39"/>
        <v>100</v>
      </c>
      <c r="Y335" t="s">
        <v>665</v>
      </c>
      <c r="Z335">
        <f t="shared" si="42"/>
        <v>660</v>
      </c>
      <c r="AA335">
        <f t="shared" ref="AA335:AA364" si="43">IF(X335&lt;50,1,0)</f>
        <v>0</v>
      </c>
    </row>
    <row r="336" spans="1:27" x14ac:dyDescent="0.2">
      <c r="A336">
        <v>1</v>
      </c>
      <c r="B336" t="s">
        <v>129</v>
      </c>
      <c r="C336">
        <v>9</v>
      </c>
      <c r="D336" t="s">
        <v>147</v>
      </c>
      <c r="E336" t="s">
        <v>578</v>
      </c>
      <c r="F336">
        <v>1</v>
      </c>
      <c r="G336" t="s">
        <v>666</v>
      </c>
      <c r="H336" t="s">
        <v>667</v>
      </c>
      <c r="I336" t="s">
        <v>485</v>
      </c>
      <c r="O336">
        <v>2</v>
      </c>
      <c r="P336">
        <v>2</v>
      </c>
      <c r="Q336">
        <v>2</v>
      </c>
      <c r="T336">
        <v>2</v>
      </c>
      <c r="U336">
        <f t="shared" si="40"/>
        <v>4</v>
      </c>
      <c r="V336">
        <f t="shared" si="41"/>
        <v>8</v>
      </c>
      <c r="W336" s="4">
        <f t="shared" si="38"/>
        <v>2</v>
      </c>
      <c r="X336" s="4">
        <f t="shared" si="39"/>
        <v>100</v>
      </c>
      <c r="Z336">
        <f t="shared" si="42"/>
        <v>752</v>
      </c>
      <c r="AA336">
        <f t="shared" si="43"/>
        <v>0</v>
      </c>
    </row>
    <row r="337" spans="1:27" x14ac:dyDescent="0.2">
      <c r="A337">
        <v>2</v>
      </c>
      <c r="B337" t="s">
        <v>129</v>
      </c>
      <c r="C337">
        <v>9</v>
      </c>
      <c r="D337" t="s">
        <v>147</v>
      </c>
      <c r="E337" t="s">
        <v>578</v>
      </c>
      <c r="F337">
        <v>1</v>
      </c>
      <c r="G337" t="s">
        <v>666</v>
      </c>
      <c r="H337" t="s">
        <v>668</v>
      </c>
      <c r="I337" t="s">
        <v>485</v>
      </c>
      <c r="O337">
        <v>2</v>
      </c>
      <c r="P337">
        <v>2</v>
      </c>
      <c r="Q337">
        <v>2</v>
      </c>
      <c r="T337">
        <v>2</v>
      </c>
      <c r="U337">
        <f t="shared" si="40"/>
        <v>4</v>
      </c>
      <c r="V337">
        <f t="shared" si="41"/>
        <v>8</v>
      </c>
      <c r="W337" s="4">
        <f t="shared" si="38"/>
        <v>2</v>
      </c>
      <c r="X337" s="4">
        <f t="shared" si="39"/>
        <v>100</v>
      </c>
      <c r="Z337">
        <f t="shared" si="42"/>
        <v>727</v>
      </c>
      <c r="AA337">
        <f t="shared" si="43"/>
        <v>0</v>
      </c>
    </row>
    <row r="338" spans="1:27" x14ac:dyDescent="0.2">
      <c r="A338">
        <v>3</v>
      </c>
      <c r="B338" t="s">
        <v>129</v>
      </c>
      <c r="C338">
        <v>9</v>
      </c>
      <c r="D338" t="s">
        <v>147</v>
      </c>
      <c r="E338" t="s">
        <v>578</v>
      </c>
      <c r="F338">
        <v>1</v>
      </c>
      <c r="G338" t="s">
        <v>666</v>
      </c>
      <c r="H338" t="s">
        <v>669</v>
      </c>
      <c r="I338" t="s">
        <v>485</v>
      </c>
      <c r="O338">
        <v>2</v>
      </c>
      <c r="P338">
        <v>2</v>
      </c>
      <c r="Q338">
        <v>2</v>
      </c>
      <c r="T338">
        <v>2</v>
      </c>
      <c r="U338">
        <f t="shared" si="40"/>
        <v>4</v>
      </c>
      <c r="V338">
        <f t="shared" si="41"/>
        <v>8</v>
      </c>
      <c r="W338" s="4">
        <f t="shared" si="38"/>
        <v>2</v>
      </c>
      <c r="X338" s="4">
        <f t="shared" si="39"/>
        <v>100</v>
      </c>
      <c r="Z338">
        <f t="shared" si="42"/>
        <v>796</v>
      </c>
      <c r="AA338">
        <f t="shared" si="43"/>
        <v>0</v>
      </c>
    </row>
    <row r="339" spans="1:27" x14ac:dyDescent="0.2">
      <c r="A339">
        <v>1</v>
      </c>
      <c r="B339" t="s">
        <v>129</v>
      </c>
      <c r="C339">
        <v>9</v>
      </c>
      <c r="D339" t="s">
        <v>147</v>
      </c>
      <c r="E339" t="s">
        <v>578</v>
      </c>
      <c r="F339">
        <v>1</v>
      </c>
      <c r="G339" t="s">
        <v>670</v>
      </c>
      <c r="H339" t="s">
        <v>671</v>
      </c>
      <c r="I339" t="s">
        <v>485</v>
      </c>
      <c r="O339">
        <v>1</v>
      </c>
      <c r="P339">
        <v>1</v>
      </c>
      <c r="Q339">
        <v>1</v>
      </c>
      <c r="T339">
        <v>1</v>
      </c>
      <c r="U339">
        <f t="shared" si="40"/>
        <v>4</v>
      </c>
      <c r="V339">
        <f t="shared" si="41"/>
        <v>4</v>
      </c>
      <c r="W339" s="4">
        <f t="shared" si="38"/>
        <v>1</v>
      </c>
      <c r="X339" s="4">
        <f t="shared" si="39"/>
        <v>50</v>
      </c>
      <c r="Y339" t="s">
        <v>595</v>
      </c>
      <c r="Z339">
        <f t="shared" si="42"/>
        <v>438</v>
      </c>
      <c r="AA339">
        <f t="shared" si="43"/>
        <v>0</v>
      </c>
    </row>
    <row r="340" spans="1:27" x14ac:dyDescent="0.2">
      <c r="A340">
        <v>2</v>
      </c>
      <c r="B340" t="s">
        <v>129</v>
      </c>
      <c r="C340">
        <v>9</v>
      </c>
      <c r="D340" t="s">
        <v>147</v>
      </c>
      <c r="E340" t="s">
        <v>578</v>
      </c>
      <c r="F340">
        <v>1</v>
      </c>
      <c r="G340" t="s">
        <v>670</v>
      </c>
      <c r="H340" t="s">
        <v>672</v>
      </c>
      <c r="I340" t="s">
        <v>485</v>
      </c>
      <c r="O340">
        <v>1</v>
      </c>
      <c r="P340">
        <v>1</v>
      </c>
      <c r="Q340">
        <v>1</v>
      </c>
      <c r="T340">
        <v>1</v>
      </c>
      <c r="U340">
        <f t="shared" si="40"/>
        <v>4</v>
      </c>
      <c r="V340">
        <f t="shared" si="41"/>
        <v>4</v>
      </c>
      <c r="W340" s="4">
        <f t="shared" si="38"/>
        <v>1</v>
      </c>
      <c r="X340" s="4">
        <f t="shared" si="39"/>
        <v>50</v>
      </c>
      <c r="Y340" t="s">
        <v>595</v>
      </c>
      <c r="Z340">
        <f t="shared" si="42"/>
        <v>449</v>
      </c>
      <c r="AA340">
        <f t="shared" si="43"/>
        <v>0</v>
      </c>
    </row>
    <row r="341" spans="1:27" x14ac:dyDescent="0.2">
      <c r="A341">
        <v>3</v>
      </c>
      <c r="B341" t="s">
        <v>129</v>
      </c>
      <c r="C341">
        <v>9</v>
      </c>
      <c r="D341" t="s">
        <v>147</v>
      </c>
      <c r="E341" t="s">
        <v>578</v>
      </c>
      <c r="F341">
        <v>1</v>
      </c>
      <c r="G341" t="s">
        <v>670</v>
      </c>
      <c r="H341" t="s">
        <v>673</v>
      </c>
      <c r="I341" t="s">
        <v>485</v>
      </c>
      <c r="O341">
        <v>2</v>
      </c>
      <c r="P341">
        <v>2</v>
      </c>
      <c r="Q341">
        <v>2</v>
      </c>
      <c r="T341">
        <v>2</v>
      </c>
      <c r="U341">
        <f t="shared" si="40"/>
        <v>4</v>
      </c>
      <c r="V341">
        <f t="shared" si="41"/>
        <v>8</v>
      </c>
      <c r="W341" s="4">
        <f t="shared" si="38"/>
        <v>2</v>
      </c>
      <c r="X341" s="4">
        <f t="shared" si="39"/>
        <v>100</v>
      </c>
      <c r="Z341">
        <f t="shared" si="42"/>
        <v>868</v>
      </c>
      <c r="AA341">
        <f t="shared" si="43"/>
        <v>0</v>
      </c>
    </row>
    <row r="342" spans="1:27" x14ac:dyDescent="0.2">
      <c r="A342">
        <v>1</v>
      </c>
      <c r="B342" t="s">
        <v>129</v>
      </c>
      <c r="C342">
        <v>9</v>
      </c>
      <c r="D342" t="s">
        <v>147</v>
      </c>
      <c r="E342" t="s">
        <v>578</v>
      </c>
      <c r="F342">
        <v>1</v>
      </c>
      <c r="G342" t="s">
        <v>674</v>
      </c>
      <c r="H342" t="s">
        <v>675</v>
      </c>
      <c r="I342" t="s">
        <v>485</v>
      </c>
      <c r="O342">
        <v>2</v>
      </c>
      <c r="P342">
        <v>2</v>
      </c>
      <c r="Q342">
        <v>2</v>
      </c>
      <c r="T342">
        <v>2</v>
      </c>
      <c r="U342">
        <f t="shared" si="40"/>
        <v>4</v>
      </c>
      <c r="V342">
        <f t="shared" si="41"/>
        <v>8</v>
      </c>
      <c r="W342" s="4">
        <f t="shared" si="38"/>
        <v>2</v>
      </c>
      <c r="X342" s="4">
        <f t="shared" si="39"/>
        <v>100</v>
      </c>
      <c r="Z342">
        <f t="shared" si="42"/>
        <v>764</v>
      </c>
      <c r="AA342">
        <f t="shared" si="43"/>
        <v>0</v>
      </c>
    </row>
    <row r="343" spans="1:27" x14ac:dyDescent="0.2">
      <c r="A343">
        <v>2</v>
      </c>
      <c r="B343" t="s">
        <v>129</v>
      </c>
      <c r="C343">
        <v>9</v>
      </c>
      <c r="D343" t="s">
        <v>147</v>
      </c>
      <c r="E343" t="s">
        <v>578</v>
      </c>
      <c r="F343">
        <v>1</v>
      </c>
      <c r="G343" t="s">
        <v>674</v>
      </c>
      <c r="H343" t="s">
        <v>676</v>
      </c>
      <c r="I343" t="s">
        <v>485</v>
      </c>
      <c r="O343">
        <v>2</v>
      </c>
      <c r="P343">
        <v>2</v>
      </c>
      <c r="Q343">
        <v>2</v>
      </c>
      <c r="T343">
        <v>2</v>
      </c>
      <c r="U343">
        <f t="shared" si="40"/>
        <v>4</v>
      </c>
      <c r="V343">
        <f t="shared" si="41"/>
        <v>8</v>
      </c>
      <c r="W343" s="4">
        <f t="shared" si="38"/>
        <v>2</v>
      </c>
      <c r="X343" s="4">
        <f t="shared" si="39"/>
        <v>100</v>
      </c>
      <c r="Z343">
        <f t="shared" si="42"/>
        <v>944</v>
      </c>
      <c r="AA343">
        <f t="shared" si="43"/>
        <v>0</v>
      </c>
    </row>
    <row r="344" spans="1:27" x14ac:dyDescent="0.2">
      <c r="A344">
        <v>3</v>
      </c>
      <c r="B344" t="s">
        <v>129</v>
      </c>
      <c r="C344">
        <v>9</v>
      </c>
      <c r="D344" t="s">
        <v>147</v>
      </c>
      <c r="E344" t="s">
        <v>578</v>
      </c>
      <c r="F344">
        <v>1</v>
      </c>
      <c r="G344" t="s">
        <v>674</v>
      </c>
      <c r="H344" t="s">
        <v>677</v>
      </c>
      <c r="I344" t="s">
        <v>485</v>
      </c>
      <c r="O344">
        <v>2</v>
      </c>
      <c r="P344">
        <v>2</v>
      </c>
      <c r="Q344">
        <v>2</v>
      </c>
      <c r="T344">
        <v>2</v>
      </c>
      <c r="U344">
        <f t="shared" si="40"/>
        <v>4</v>
      </c>
      <c r="V344">
        <f t="shared" si="41"/>
        <v>8</v>
      </c>
      <c r="W344" s="4">
        <f t="shared" si="38"/>
        <v>2</v>
      </c>
      <c r="X344" s="4">
        <f t="shared" si="39"/>
        <v>100</v>
      </c>
      <c r="Z344">
        <f t="shared" si="42"/>
        <v>1025</v>
      </c>
      <c r="AA344">
        <f t="shared" si="43"/>
        <v>0</v>
      </c>
    </row>
    <row r="345" spans="1:27" x14ac:dyDescent="0.2">
      <c r="A345">
        <v>1</v>
      </c>
      <c r="B345" t="s">
        <v>129</v>
      </c>
      <c r="C345">
        <v>9</v>
      </c>
      <c r="D345" t="s">
        <v>147</v>
      </c>
      <c r="E345" t="s">
        <v>578</v>
      </c>
      <c r="F345">
        <v>1</v>
      </c>
      <c r="G345" t="s">
        <v>678</v>
      </c>
      <c r="H345" t="s">
        <v>679</v>
      </c>
      <c r="I345" t="s">
        <v>485</v>
      </c>
      <c r="O345">
        <v>1</v>
      </c>
      <c r="P345">
        <v>1</v>
      </c>
      <c r="Q345">
        <v>1</v>
      </c>
      <c r="T345">
        <v>1</v>
      </c>
      <c r="U345">
        <f t="shared" si="40"/>
        <v>4</v>
      </c>
      <c r="V345">
        <f t="shared" si="41"/>
        <v>4</v>
      </c>
      <c r="W345" s="4">
        <f t="shared" si="38"/>
        <v>1</v>
      </c>
      <c r="X345" s="4">
        <f t="shared" si="39"/>
        <v>50</v>
      </c>
      <c r="Y345" t="s">
        <v>595</v>
      </c>
      <c r="Z345">
        <f t="shared" si="42"/>
        <v>415</v>
      </c>
      <c r="AA345">
        <f t="shared" si="43"/>
        <v>0</v>
      </c>
    </row>
    <row r="346" spans="1:27" x14ac:dyDescent="0.2">
      <c r="A346">
        <v>2</v>
      </c>
      <c r="B346" t="s">
        <v>129</v>
      </c>
      <c r="C346">
        <v>9</v>
      </c>
      <c r="D346" t="s">
        <v>147</v>
      </c>
      <c r="E346" t="s">
        <v>578</v>
      </c>
      <c r="F346">
        <v>1</v>
      </c>
      <c r="G346" t="s">
        <v>678</v>
      </c>
      <c r="H346" t="s">
        <v>680</v>
      </c>
      <c r="I346" t="s">
        <v>485</v>
      </c>
      <c r="O346">
        <v>1</v>
      </c>
      <c r="P346">
        <v>1</v>
      </c>
      <c r="Q346">
        <v>1</v>
      </c>
      <c r="T346">
        <v>1</v>
      </c>
      <c r="U346">
        <f t="shared" si="40"/>
        <v>4</v>
      </c>
      <c r="V346">
        <f t="shared" si="41"/>
        <v>4</v>
      </c>
      <c r="W346" s="4">
        <f t="shared" si="38"/>
        <v>1</v>
      </c>
      <c r="X346" s="4">
        <f t="shared" si="39"/>
        <v>50</v>
      </c>
      <c r="Y346" t="s">
        <v>595</v>
      </c>
      <c r="Z346">
        <f t="shared" si="42"/>
        <v>496</v>
      </c>
      <c r="AA346">
        <f t="shared" si="43"/>
        <v>0</v>
      </c>
    </row>
    <row r="347" spans="1:27" x14ac:dyDescent="0.2">
      <c r="A347">
        <v>3</v>
      </c>
      <c r="B347" t="s">
        <v>129</v>
      </c>
      <c r="C347">
        <v>9</v>
      </c>
      <c r="D347" t="s">
        <v>147</v>
      </c>
      <c r="E347" t="s">
        <v>578</v>
      </c>
      <c r="F347">
        <v>1</v>
      </c>
      <c r="G347" t="s">
        <v>678</v>
      </c>
      <c r="H347" t="s">
        <v>681</v>
      </c>
      <c r="I347" t="s">
        <v>485</v>
      </c>
      <c r="O347">
        <v>1</v>
      </c>
      <c r="P347">
        <v>1</v>
      </c>
      <c r="Q347">
        <v>1</v>
      </c>
      <c r="T347">
        <v>1</v>
      </c>
      <c r="U347">
        <f t="shared" si="40"/>
        <v>4</v>
      </c>
      <c r="V347">
        <f t="shared" si="41"/>
        <v>4</v>
      </c>
      <c r="W347" s="4">
        <f t="shared" si="38"/>
        <v>1</v>
      </c>
      <c r="X347" s="4">
        <f t="shared" si="39"/>
        <v>50</v>
      </c>
      <c r="Y347" t="s">
        <v>595</v>
      </c>
      <c r="Z347">
        <f t="shared" si="42"/>
        <v>486</v>
      </c>
      <c r="AA347">
        <f t="shared" si="43"/>
        <v>0</v>
      </c>
    </row>
    <row r="348" spans="1:27" x14ac:dyDescent="0.2">
      <c r="A348">
        <v>1</v>
      </c>
      <c r="B348" t="s">
        <v>129</v>
      </c>
      <c r="C348">
        <v>9</v>
      </c>
      <c r="D348" t="s">
        <v>147</v>
      </c>
      <c r="E348" t="s">
        <v>578</v>
      </c>
      <c r="F348">
        <v>1</v>
      </c>
      <c r="G348" t="s">
        <v>682</v>
      </c>
      <c r="H348" t="s">
        <v>683</v>
      </c>
      <c r="I348" t="s">
        <v>485</v>
      </c>
      <c r="O348">
        <v>1</v>
      </c>
      <c r="P348">
        <v>1</v>
      </c>
      <c r="Q348">
        <v>1</v>
      </c>
      <c r="T348">
        <v>2</v>
      </c>
      <c r="U348">
        <f t="shared" si="40"/>
        <v>4</v>
      </c>
      <c r="V348">
        <f t="shared" si="41"/>
        <v>5</v>
      </c>
      <c r="W348" s="4">
        <f t="shared" si="38"/>
        <v>1.25</v>
      </c>
      <c r="X348" s="4">
        <f t="shared" si="39"/>
        <v>62.5</v>
      </c>
      <c r="Y348" t="s">
        <v>684</v>
      </c>
      <c r="Z348">
        <f t="shared" si="42"/>
        <v>440</v>
      </c>
      <c r="AA348">
        <f t="shared" si="43"/>
        <v>0</v>
      </c>
    </row>
    <row r="349" spans="1:27" x14ac:dyDescent="0.2">
      <c r="A349">
        <v>2</v>
      </c>
      <c r="B349" t="s">
        <v>129</v>
      </c>
      <c r="C349">
        <v>9</v>
      </c>
      <c r="D349" t="s">
        <v>147</v>
      </c>
      <c r="E349" t="s">
        <v>578</v>
      </c>
      <c r="F349">
        <v>1</v>
      </c>
      <c r="G349" t="s">
        <v>682</v>
      </c>
      <c r="H349" t="s">
        <v>685</v>
      </c>
      <c r="I349" t="s">
        <v>485</v>
      </c>
      <c r="O349">
        <v>1</v>
      </c>
      <c r="P349">
        <v>1</v>
      </c>
      <c r="Q349">
        <v>1</v>
      </c>
      <c r="T349">
        <v>2</v>
      </c>
      <c r="U349">
        <f t="shared" si="40"/>
        <v>4</v>
      </c>
      <c r="V349">
        <f t="shared" si="41"/>
        <v>5</v>
      </c>
      <c r="W349" s="4">
        <f t="shared" si="38"/>
        <v>1.25</v>
      </c>
      <c r="X349" s="4">
        <f t="shared" si="39"/>
        <v>62.5</v>
      </c>
      <c r="Y349" t="s">
        <v>595</v>
      </c>
      <c r="Z349">
        <f t="shared" si="42"/>
        <v>470</v>
      </c>
      <c r="AA349">
        <f t="shared" si="43"/>
        <v>0</v>
      </c>
    </row>
    <row r="350" spans="1:27" x14ac:dyDescent="0.2">
      <c r="A350">
        <v>3</v>
      </c>
      <c r="B350" t="s">
        <v>129</v>
      </c>
      <c r="C350">
        <v>9</v>
      </c>
      <c r="D350" t="s">
        <v>147</v>
      </c>
      <c r="E350" t="s">
        <v>578</v>
      </c>
      <c r="F350">
        <v>1</v>
      </c>
      <c r="G350" t="s">
        <v>682</v>
      </c>
      <c r="H350" t="s">
        <v>686</v>
      </c>
      <c r="I350" t="s">
        <v>485</v>
      </c>
      <c r="O350">
        <v>1</v>
      </c>
      <c r="P350">
        <v>1</v>
      </c>
      <c r="Q350">
        <v>1</v>
      </c>
      <c r="T350">
        <v>2</v>
      </c>
      <c r="U350">
        <f t="shared" si="40"/>
        <v>4</v>
      </c>
      <c r="V350">
        <f t="shared" si="41"/>
        <v>5</v>
      </c>
      <c r="W350" s="4">
        <f t="shared" si="38"/>
        <v>1.25</v>
      </c>
      <c r="X350" s="4">
        <f t="shared" si="39"/>
        <v>62.5</v>
      </c>
      <c r="Y350" t="s">
        <v>595</v>
      </c>
      <c r="Z350">
        <f t="shared" si="42"/>
        <v>358</v>
      </c>
      <c r="AA350">
        <f t="shared" si="43"/>
        <v>0</v>
      </c>
    </row>
    <row r="351" spans="1:27" x14ac:dyDescent="0.2">
      <c r="A351">
        <v>1</v>
      </c>
      <c r="B351" t="s">
        <v>129</v>
      </c>
      <c r="C351">
        <v>9</v>
      </c>
      <c r="D351" t="s">
        <v>147</v>
      </c>
      <c r="E351" t="s">
        <v>578</v>
      </c>
      <c r="F351">
        <v>1</v>
      </c>
      <c r="G351" t="s">
        <v>687</v>
      </c>
      <c r="H351" t="s">
        <v>688</v>
      </c>
      <c r="I351" t="s">
        <v>485</v>
      </c>
      <c r="O351">
        <v>1</v>
      </c>
      <c r="P351">
        <v>1</v>
      </c>
      <c r="Q351">
        <v>1</v>
      </c>
      <c r="T351">
        <v>2</v>
      </c>
      <c r="U351">
        <f t="shared" si="40"/>
        <v>4</v>
      </c>
      <c r="V351">
        <f t="shared" si="41"/>
        <v>5</v>
      </c>
      <c r="W351" s="4">
        <f t="shared" si="38"/>
        <v>1.25</v>
      </c>
      <c r="X351" s="4">
        <f t="shared" si="39"/>
        <v>62.5</v>
      </c>
      <c r="Y351" t="s">
        <v>595</v>
      </c>
      <c r="Z351">
        <f t="shared" si="42"/>
        <v>422</v>
      </c>
      <c r="AA351">
        <f t="shared" si="43"/>
        <v>0</v>
      </c>
    </row>
    <row r="352" spans="1:27" x14ac:dyDescent="0.2">
      <c r="A352">
        <v>2</v>
      </c>
      <c r="B352" t="s">
        <v>129</v>
      </c>
      <c r="C352">
        <v>9</v>
      </c>
      <c r="D352" t="s">
        <v>147</v>
      </c>
      <c r="E352" t="s">
        <v>578</v>
      </c>
      <c r="F352">
        <v>1</v>
      </c>
      <c r="G352" t="s">
        <v>687</v>
      </c>
      <c r="H352" t="s">
        <v>689</v>
      </c>
      <c r="I352" t="s">
        <v>485</v>
      </c>
      <c r="O352">
        <v>1</v>
      </c>
      <c r="P352">
        <v>1</v>
      </c>
      <c r="Q352">
        <v>1</v>
      </c>
      <c r="T352">
        <v>2</v>
      </c>
      <c r="U352">
        <f t="shared" si="40"/>
        <v>4</v>
      </c>
      <c r="V352">
        <f t="shared" si="41"/>
        <v>5</v>
      </c>
      <c r="W352" s="4">
        <f t="shared" si="38"/>
        <v>1.25</v>
      </c>
      <c r="X352" s="4">
        <f t="shared" si="39"/>
        <v>62.5</v>
      </c>
      <c r="Y352" t="s">
        <v>595</v>
      </c>
      <c r="Z352">
        <f t="shared" si="42"/>
        <v>481</v>
      </c>
      <c r="AA352">
        <f t="shared" si="43"/>
        <v>0</v>
      </c>
    </row>
    <row r="353" spans="1:27" x14ac:dyDescent="0.2">
      <c r="A353">
        <v>3</v>
      </c>
      <c r="B353" t="s">
        <v>129</v>
      </c>
      <c r="C353">
        <v>9</v>
      </c>
      <c r="D353" t="s">
        <v>147</v>
      </c>
      <c r="E353" t="s">
        <v>578</v>
      </c>
      <c r="F353">
        <v>1</v>
      </c>
      <c r="G353" t="s">
        <v>687</v>
      </c>
      <c r="H353" t="s">
        <v>690</v>
      </c>
      <c r="I353" t="s">
        <v>485</v>
      </c>
      <c r="O353">
        <v>1</v>
      </c>
      <c r="P353">
        <v>1</v>
      </c>
      <c r="Q353">
        <v>1</v>
      </c>
      <c r="T353">
        <v>2</v>
      </c>
      <c r="U353">
        <f t="shared" si="40"/>
        <v>4</v>
      </c>
      <c r="V353">
        <f t="shared" si="41"/>
        <v>5</v>
      </c>
      <c r="W353" s="4">
        <f t="shared" si="38"/>
        <v>1.25</v>
      </c>
      <c r="X353" s="4">
        <f t="shared" si="39"/>
        <v>62.5</v>
      </c>
      <c r="Y353" t="s">
        <v>595</v>
      </c>
      <c r="Z353">
        <f t="shared" si="42"/>
        <v>475</v>
      </c>
      <c r="AA353">
        <f t="shared" si="43"/>
        <v>0</v>
      </c>
    </row>
    <row r="354" spans="1:27" x14ac:dyDescent="0.2">
      <c r="A354">
        <v>1</v>
      </c>
      <c r="B354" t="s">
        <v>129</v>
      </c>
      <c r="C354">
        <v>9</v>
      </c>
      <c r="D354" t="s">
        <v>147</v>
      </c>
      <c r="E354" t="s">
        <v>578</v>
      </c>
      <c r="F354">
        <v>1</v>
      </c>
      <c r="G354" t="s">
        <v>691</v>
      </c>
      <c r="H354" t="s">
        <v>692</v>
      </c>
      <c r="I354" t="s">
        <v>485</v>
      </c>
      <c r="O354">
        <v>2</v>
      </c>
      <c r="P354">
        <v>2</v>
      </c>
      <c r="Q354">
        <v>2</v>
      </c>
      <c r="T354">
        <v>1</v>
      </c>
      <c r="U354">
        <f t="shared" si="40"/>
        <v>4</v>
      </c>
      <c r="V354">
        <f t="shared" si="41"/>
        <v>7</v>
      </c>
      <c r="W354" s="4">
        <f t="shared" si="38"/>
        <v>1.75</v>
      </c>
      <c r="X354" s="4">
        <f t="shared" si="39"/>
        <v>87.5</v>
      </c>
      <c r="Y354" t="s">
        <v>635</v>
      </c>
      <c r="Z354">
        <f t="shared" si="42"/>
        <v>848</v>
      </c>
      <c r="AA354">
        <f t="shared" si="43"/>
        <v>0</v>
      </c>
    </row>
    <row r="355" spans="1:27" x14ac:dyDescent="0.2">
      <c r="A355">
        <v>2</v>
      </c>
      <c r="B355" t="s">
        <v>129</v>
      </c>
      <c r="C355">
        <v>9</v>
      </c>
      <c r="D355" t="s">
        <v>147</v>
      </c>
      <c r="E355" t="s">
        <v>578</v>
      </c>
      <c r="F355">
        <v>1</v>
      </c>
      <c r="G355" t="s">
        <v>691</v>
      </c>
      <c r="H355" t="s">
        <v>693</v>
      </c>
      <c r="I355" t="s">
        <v>485</v>
      </c>
      <c r="O355">
        <v>1</v>
      </c>
      <c r="P355">
        <v>1</v>
      </c>
      <c r="Q355">
        <v>1</v>
      </c>
      <c r="T355">
        <v>2</v>
      </c>
      <c r="U355">
        <f t="shared" si="40"/>
        <v>4</v>
      </c>
      <c r="V355">
        <f t="shared" si="41"/>
        <v>5</v>
      </c>
      <c r="W355" s="4">
        <f t="shared" si="38"/>
        <v>1.25</v>
      </c>
      <c r="X355" s="4">
        <f t="shared" si="39"/>
        <v>62.5</v>
      </c>
      <c r="Z355">
        <f t="shared" si="42"/>
        <v>548</v>
      </c>
      <c r="AA355">
        <f t="shared" si="43"/>
        <v>0</v>
      </c>
    </row>
    <row r="356" spans="1:27" x14ac:dyDescent="0.2">
      <c r="A356">
        <v>3</v>
      </c>
      <c r="B356" t="s">
        <v>129</v>
      </c>
      <c r="C356">
        <v>9</v>
      </c>
      <c r="D356" t="s">
        <v>147</v>
      </c>
      <c r="E356" t="s">
        <v>578</v>
      </c>
      <c r="F356">
        <v>1</v>
      </c>
      <c r="G356" t="s">
        <v>691</v>
      </c>
      <c r="H356" t="s">
        <v>694</v>
      </c>
      <c r="I356" t="s">
        <v>485</v>
      </c>
      <c r="O356">
        <v>1</v>
      </c>
      <c r="P356">
        <v>1</v>
      </c>
      <c r="Q356">
        <v>1</v>
      </c>
      <c r="T356">
        <v>2</v>
      </c>
      <c r="U356">
        <f t="shared" si="40"/>
        <v>4</v>
      </c>
      <c r="V356">
        <f t="shared" si="41"/>
        <v>5</v>
      </c>
      <c r="W356" s="4">
        <f t="shared" si="38"/>
        <v>1.25</v>
      </c>
      <c r="X356" s="4">
        <f t="shared" si="39"/>
        <v>62.5</v>
      </c>
      <c r="Z356">
        <f t="shared" si="42"/>
        <v>423</v>
      </c>
      <c r="AA356">
        <f t="shared" si="43"/>
        <v>0</v>
      </c>
    </row>
    <row r="357" spans="1:27" x14ac:dyDescent="0.2">
      <c r="A357">
        <v>1</v>
      </c>
      <c r="B357" t="s">
        <v>129</v>
      </c>
      <c r="C357">
        <v>9</v>
      </c>
      <c r="D357" t="s">
        <v>147</v>
      </c>
      <c r="E357" t="s">
        <v>578</v>
      </c>
      <c r="F357">
        <v>1</v>
      </c>
      <c r="G357" t="s">
        <v>695</v>
      </c>
      <c r="H357" t="s">
        <v>696</v>
      </c>
      <c r="I357" t="s">
        <v>485</v>
      </c>
      <c r="O357">
        <v>2</v>
      </c>
      <c r="P357">
        <v>2</v>
      </c>
      <c r="Q357">
        <v>2</v>
      </c>
      <c r="T357">
        <v>2</v>
      </c>
      <c r="U357">
        <f t="shared" si="40"/>
        <v>4</v>
      </c>
      <c r="V357">
        <f t="shared" si="41"/>
        <v>8</v>
      </c>
      <c r="W357" s="4">
        <f t="shared" si="38"/>
        <v>2</v>
      </c>
      <c r="X357" s="4">
        <f t="shared" si="39"/>
        <v>100</v>
      </c>
      <c r="Z357">
        <f t="shared" si="42"/>
        <v>731</v>
      </c>
      <c r="AA357">
        <f t="shared" si="43"/>
        <v>0</v>
      </c>
    </row>
    <row r="358" spans="1:27" x14ac:dyDescent="0.2">
      <c r="A358">
        <v>2</v>
      </c>
      <c r="B358" t="s">
        <v>129</v>
      </c>
      <c r="C358">
        <v>9</v>
      </c>
      <c r="D358" t="s">
        <v>147</v>
      </c>
      <c r="E358" t="s">
        <v>578</v>
      </c>
      <c r="F358">
        <v>1</v>
      </c>
      <c r="G358" t="s">
        <v>695</v>
      </c>
      <c r="H358" t="s">
        <v>697</v>
      </c>
      <c r="I358" t="s">
        <v>485</v>
      </c>
      <c r="O358">
        <v>2</v>
      </c>
      <c r="P358">
        <v>2</v>
      </c>
      <c r="Q358">
        <v>2</v>
      </c>
      <c r="T358">
        <v>2</v>
      </c>
      <c r="U358">
        <f t="shared" si="40"/>
        <v>4</v>
      </c>
      <c r="V358">
        <f t="shared" si="41"/>
        <v>8</v>
      </c>
      <c r="W358" s="4">
        <f t="shared" si="38"/>
        <v>2</v>
      </c>
      <c r="X358" s="4">
        <f t="shared" si="39"/>
        <v>100</v>
      </c>
      <c r="Z358">
        <f t="shared" si="42"/>
        <v>578</v>
      </c>
      <c r="AA358">
        <f t="shared" si="43"/>
        <v>0</v>
      </c>
    </row>
    <row r="359" spans="1:27" x14ac:dyDescent="0.2">
      <c r="A359">
        <v>3</v>
      </c>
      <c r="B359" t="s">
        <v>129</v>
      </c>
      <c r="C359">
        <v>9</v>
      </c>
      <c r="D359" t="s">
        <v>147</v>
      </c>
      <c r="E359" t="s">
        <v>578</v>
      </c>
      <c r="F359">
        <v>1</v>
      </c>
      <c r="G359" t="s">
        <v>695</v>
      </c>
      <c r="H359" t="s">
        <v>698</v>
      </c>
      <c r="I359" t="s">
        <v>485</v>
      </c>
      <c r="O359">
        <v>2</v>
      </c>
      <c r="P359">
        <v>2</v>
      </c>
      <c r="Q359">
        <v>1</v>
      </c>
      <c r="T359">
        <v>2</v>
      </c>
      <c r="U359">
        <f t="shared" si="40"/>
        <v>4</v>
      </c>
      <c r="V359">
        <f t="shared" si="41"/>
        <v>7</v>
      </c>
      <c r="W359" s="4">
        <f t="shared" si="38"/>
        <v>1.75</v>
      </c>
      <c r="X359" s="4">
        <f t="shared" si="39"/>
        <v>87.5</v>
      </c>
      <c r="Y359" t="s">
        <v>699</v>
      </c>
      <c r="Z359">
        <f t="shared" si="42"/>
        <v>976</v>
      </c>
      <c r="AA359">
        <f t="shared" si="43"/>
        <v>0</v>
      </c>
    </row>
    <row r="360" spans="1:27" x14ac:dyDescent="0.2">
      <c r="A360">
        <v>1</v>
      </c>
      <c r="B360" t="s">
        <v>129</v>
      </c>
      <c r="C360">
        <v>9</v>
      </c>
      <c r="D360" t="s">
        <v>147</v>
      </c>
      <c r="E360" t="s">
        <v>578</v>
      </c>
      <c r="F360">
        <v>1</v>
      </c>
      <c r="G360" t="s">
        <v>700</v>
      </c>
      <c r="H360" t="s">
        <v>701</v>
      </c>
      <c r="I360" t="s">
        <v>485</v>
      </c>
      <c r="O360">
        <v>2</v>
      </c>
      <c r="P360">
        <v>2</v>
      </c>
      <c r="Q360">
        <v>2</v>
      </c>
      <c r="T360">
        <v>2</v>
      </c>
      <c r="U360">
        <f t="shared" si="40"/>
        <v>4</v>
      </c>
      <c r="V360">
        <f t="shared" si="41"/>
        <v>8</v>
      </c>
      <c r="W360" s="4">
        <f t="shared" si="38"/>
        <v>2</v>
      </c>
      <c r="X360" s="4">
        <f t="shared" si="39"/>
        <v>100</v>
      </c>
      <c r="Z360">
        <f t="shared" si="42"/>
        <v>840</v>
      </c>
      <c r="AA360">
        <f t="shared" si="43"/>
        <v>0</v>
      </c>
    </row>
    <row r="361" spans="1:27" x14ac:dyDescent="0.2">
      <c r="A361">
        <v>2</v>
      </c>
      <c r="B361" t="s">
        <v>129</v>
      </c>
      <c r="C361">
        <v>9</v>
      </c>
      <c r="D361" t="s">
        <v>147</v>
      </c>
      <c r="E361" t="s">
        <v>578</v>
      </c>
      <c r="F361">
        <v>1</v>
      </c>
      <c r="G361" t="s">
        <v>700</v>
      </c>
      <c r="H361" t="s">
        <v>702</v>
      </c>
      <c r="I361" t="s">
        <v>485</v>
      </c>
      <c r="O361">
        <v>2</v>
      </c>
      <c r="P361">
        <v>2</v>
      </c>
      <c r="Q361">
        <v>2</v>
      </c>
      <c r="T361">
        <v>2</v>
      </c>
      <c r="U361">
        <f t="shared" si="40"/>
        <v>4</v>
      </c>
      <c r="V361">
        <f t="shared" si="41"/>
        <v>8</v>
      </c>
      <c r="W361" s="4">
        <f t="shared" si="38"/>
        <v>2</v>
      </c>
      <c r="X361" s="4">
        <f t="shared" si="39"/>
        <v>100</v>
      </c>
      <c r="Z361">
        <f t="shared" si="42"/>
        <v>844</v>
      </c>
      <c r="AA361">
        <f t="shared" si="43"/>
        <v>0</v>
      </c>
    </row>
    <row r="362" spans="1:27" x14ac:dyDescent="0.2">
      <c r="A362">
        <v>3</v>
      </c>
      <c r="B362" t="s">
        <v>129</v>
      </c>
      <c r="C362">
        <v>9</v>
      </c>
      <c r="D362" t="s">
        <v>147</v>
      </c>
      <c r="E362" t="s">
        <v>578</v>
      </c>
      <c r="F362">
        <v>1</v>
      </c>
      <c r="G362" t="s">
        <v>700</v>
      </c>
      <c r="H362" t="s">
        <v>703</v>
      </c>
      <c r="I362" t="s">
        <v>485</v>
      </c>
      <c r="O362">
        <v>2</v>
      </c>
      <c r="P362">
        <v>2</v>
      </c>
      <c r="Q362">
        <v>2</v>
      </c>
      <c r="T362">
        <v>2</v>
      </c>
      <c r="U362">
        <f t="shared" si="40"/>
        <v>4</v>
      </c>
      <c r="V362">
        <f t="shared" si="41"/>
        <v>8</v>
      </c>
      <c r="W362" s="4">
        <f t="shared" si="38"/>
        <v>2</v>
      </c>
      <c r="X362" s="4">
        <f t="shared" si="39"/>
        <v>100</v>
      </c>
      <c r="Z362">
        <f t="shared" si="42"/>
        <v>851</v>
      </c>
      <c r="AA362">
        <f t="shared" si="43"/>
        <v>0</v>
      </c>
    </row>
    <row r="363" spans="1:27" x14ac:dyDescent="0.2">
      <c r="A363">
        <v>1</v>
      </c>
      <c r="B363" t="s">
        <v>129</v>
      </c>
      <c r="C363">
        <v>9</v>
      </c>
      <c r="D363" t="s">
        <v>147</v>
      </c>
      <c r="E363" t="s">
        <v>578</v>
      </c>
      <c r="F363">
        <v>1</v>
      </c>
      <c r="G363" t="s">
        <v>704</v>
      </c>
      <c r="H363" t="s">
        <v>705</v>
      </c>
      <c r="I363" t="s">
        <v>485</v>
      </c>
      <c r="O363">
        <v>2</v>
      </c>
      <c r="P363">
        <v>2</v>
      </c>
      <c r="Q363">
        <v>2</v>
      </c>
      <c r="T363">
        <v>1</v>
      </c>
      <c r="U363">
        <f t="shared" si="40"/>
        <v>4</v>
      </c>
      <c r="V363">
        <f t="shared" si="41"/>
        <v>7</v>
      </c>
      <c r="W363" s="4">
        <f t="shared" si="38"/>
        <v>1.75</v>
      </c>
      <c r="X363" s="4">
        <f t="shared" si="39"/>
        <v>87.5</v>
      </c>
      <c r="Z363">
        <f t="shared" si="42"/>
        <v>681</v>
      </c>
      <c r="AA363">
        <f t="shared" si="43"/>
        <v>0</v>
      </c>
    </row>
    <row r="364" spans="1:27" x14ac:dyDescent="0.2">
      <c r="A364">
        <v>2</v>
      </c>
      <c r="B364" t="s">
        <v>129</v>
      </c>
      <c r="C364">
        <v>9</v>
      </c>
      <c r="D364" t="s">
        <v>147</v>
      </c>
      <c r="E364" t="s">
        <v>578</v>
      </c>
      <c r="F364">
        <v>1</v>
      </c>
      <c r="G364" t="s">
        <v>704</v>
      </c>
      <c r="H364" t="s">
        <v>706</v>
      </c>
      <c r="I364" t="s">
        <v>485</v>
      </c>
      <c r="O364">
        <v>2</v>
      </c>
      <c r="P364">
        <v>2</v>
      </c>
      <c r="Q364">
        <v>2</v>
      </c>
      <c r="T364">
        <v>1</v>
      </c>
      <c r="U364">
        <f t="shared" si="40"/>
        <v>4</v>
      </c>
      <c r="V364">
        <f t="shared" si="41"/>
        <v>7</v>
      </c>
      <c r="W364" s="4">
        <f t="shared" si="38"/>
        <v>1.75</v>
      </c>
      <c r="X364" s="4">
        <f t="shared" si="39"/>
        <v>87.5</v>
      </c>
      <c r="Z364">
        <f t="shared" si="42"/>
        <v>878</v>
      </c>
      <c r="AA364">
        <f t="shared" si="43"/>
        <v>0</v>
      </c>
    </row>
    <row r="365" spans="1:27" x14ac:dyDescent="0.2">
      <c r="A365">
        <v>3</v>
      </c>
      <c r="B365" t="s">
        <v>129</v>
      </c>
      <c r="C365">
        <v>9</v>
      </c>
      <c r="D365" t="s">
        <v>147</v>
      </c>
      <c r="E365" t="s">
        <v>578</v>
      </c>
      <c r="F365">
        <v>1</v>
      </c>
      <c r="G365" t="s">
        <v>704</v>
      </c>
      <c r="H365" t="s">
        <v>707</v>
      </c>
      <c r="I365" t="s">
        <v>485</v>
      </c>
      <c r="O365">
        <v>2</v>
      </c>
      <c r="P365">
        <v>2</v>
      </c>
      <c r="Q365">
        <v>2</v>
      </c>
      <c r="T365">
        <v>1</v>
      </c>
      <c r="U365">
        <f t="shared" si="40"/>
        <v>4</v>
      </c>
      <c r="V365">
        <f t="shared" si="41"/>
        <v>7</v>
      </c>
      <c r="W365" s="4">
        <f t="shared" si="38"/>
        <v>1.75</v>
      </c>
      <c r="X365" s="4">
        <f t="shared" si="39"/>
        <v>87.5</v>
      </c>
      <c r="Z365">
        <f t="shared" si="42"/>
        <v>849</v>
      </c>
      <c r="AA365">
        <f>IF(X365&lt;50,1,0)</f>
        <v>0</v>
      </c>
    </row>
    <row r="366" spans="1:27" x14ac:dyDescent="0.2">
      <c r="A366">
        <v>1</v>
      </c>
      <c r="B366" t="s">
        <v>129</v>
      </c>
      <c r="C366">
        <v>9</v>
      </c>
      <c r="D366" t="s">
        <v>147</v>
      </c>
      <c r="E366" t="s">
        <v>578</v>
      </c>
      <c r="F366">
        <v>1</v>
      </c>
      <c r="G366" t="s">
        <v>708</v>
      </c>
      <c r="H366" t="s">
        <v>709</v>
      </c>
      <c r="I366" t="s">
        <v>485</v>
      </c>
      <c r="O366">
        <v>2</v>
      </c>
      <c r="P366">
        <v>2</v>
      </c>
      <c r="Q366">
        <v>2</v>
      </c>
      <c r="T366">
        <v>2</v>
      </c>
      <c r="U366">
        <f t="shared" si="40"/>
        <v>4</v>
      </c>
      <c r="V366">
        <f t="shared" si="41"/>
        <v>8</v>
      </c>
      <c r="W366" s="4">
        <f t="shared" si="38"/>
        <v>2</v>
      </c>
      <c r="X366" s="4">
        <f t="shared" si="39"/>
        <v>100</v>
      </c>
      <c r="Z366">
        <f t="shared" si="42"/>
        <v>859</v>
      </c>
      <c r="AA366">
        <f t="shared" ref="AA366:AA395" si="44">IF(X366&lt;50,1,0)</f>
        <v>0</v>
      </c>
    </row>
    <row r="367" spans="1:27" x14ac:dyDescent="0.2">
      <c r="A367">
        <v>2</v>
      </c>
      <c r="B367" t="s">
        <v>129</v>
      </c>
      <c r="C367">
        <v>9</v>
      </c>
      <c r="D367" t="s">
        <v>147</v>
      </c>
      <c r="E367" t="s">
        <v>578</v>
      </c>
      <c r="F367">
        <v>1</v>
      </c>
      <c r="G367" t="s">
        <v>708</v>
      </c>
      <c r="H367" t="s">
        <v>710</v>
      </c>
      <c r="I367" t="s">
        <v>485</v>
      </c>
      <c r="O367">
        <v>2</v>
      </c>
      <c r="P367">
        <v>2</v>
      </c>
      <c r="Q367">
        <v>2</v>
      </c>
      <c r="T367">
        <v>2</v>
      </c>
      <c r="U367">
        <f t="shared" si="40"/>
        <v>4</v>
      </c>
      <c r="V367">
        <f t="shared" si="41"/>
        <v>8</v>
      </c>
      <c r="W367" s="4">
        <f t="shared" si="38"/>
        <v>2</v>
      </c>
      <c r="X367" s="4">
        <f t="shared" si="39"/>
        <v>100</v>
      </c>
      <c r="Z367">
        <f t="shared" si="42"/>
        <v>836</v>
      </c>
      <c r="AA367">
        <f t="shared" si="44"/>
        <v>0</v>
      </c>
    </row>
    <row r="368" spans="1:27" x14ac:dyDescent="0.2">
      <c r="A368">
        <v>3</v>
      </c>
      <c r="B368" t="s">
        <v>129</v>
      </c>
      <c r="C368">
        <v>9</v>
      </c>
      <c r="D368" t="s">
        <v>147</v>
      </c>
      <c r="E368" t="s">
        <v>578</v>
      </c>
      <c r="F368">
        <v>1</v>
      </c>
      <c r="G368" t="s">
        <v>708</v>
      </c>
      <c r="H368" t="s">
        <v>711</v>
      </c>
      <c r="I368" t="s">
        <v>485</v>
      </c>
      <c r="O368">
        <v>2</v>
      </c>
      <c r="P368">
        <v>2</v>
      </c>
      <c r="Q368">
        <v>2</v>
      </c>
      <c r="T368">
        <v>2</v>
      </c>
      <c r="U368">
        <f t="shared" si="40"/>
        <v>4</v>
      </c>
      <c r="V368">
        <f t="shared" si="41"/>
        <v>8</v>
      </c>
      <c r="W368" s="4">
        <f t="shared" si="38"/>
        <v>2</v>
      </c>
      <c r="X368" s="4">
        <f t="shared" si="39"/>
        <v>100</v>
      </c>
      <c r="Z368">
        <f t="shared" si="42"/>
        <v>825</v>
      </c>
      <c r="AA368">
        <f t="shared" si="44"/>
        <v>0</v>
      </c>
    </row>
    <row r="369" spans="1:27" x14ac:dyDescent="0.2">
      <c r="A369">
        <v>1</v>
      </c>
      <c r="B369" t="s">
        <v>129</v>
      </c>
      <c r="C369">
        <v>9</v>
      </c>
      <c r="D369" t="s">
        <v>147</v>
      </c>
      <c r="E369" t="s">
        <v>578</v>
      </c>
      <c r="F369">
        <v>1</v>
      </c>
      <c r="G369" t="s">
        <v>712</v>
      </c>
      <c r="H369" t="s">
        <v>713</v>
      </c>
      <c r="I369" t="s">
        <v>485</v>
      </c>
      <c r="O369">
        <v>1</v>
      </c>
      <c r="P369">
        <v>1</v>
      </c>
      <c r="Q369">
        <v>1</v>
      </c>
      <c r="T369">
        <v>2</v>
      </c>
      <c r="U369">
        <f t="shared" si="40"/>
        <v>4</v>
      </c>
      <c r="V369">
        <f t="shared" si="41"/>
        <v>5</v>
      </c>
      <c r="W369" s="4">
        <f t="shared" si="38"/>
        <v>1.25</v>
      </c>
      <c r="X369" s="4">
        <f t="shared" si="39"/>
        <v>62.5</v>
      </c>
      <c r="Y369" t="s">
        <v>714</v>
      </c>
      <c r="Z369">
        <f t="shared" si="42"/>
        <v>399</v>
      </c>
      <c r="AA369">
        <f t="shared" si="44"/>
        <v>0</v>
      </c>
    </row>
    <row r="370" spans="1:27" x14ac:dyDescent="0.2">
      <c r="A370">
        <v>2</v>
      </c>
      <c r="B370" t="s">
        <v>129</v>
      </c>
      <c r="C370">
        <v>9</v>
      </c>
      <c r="D370" t="s">
        <v>147</v>
      </c>
      <c r="E370" t="s">
        <v>578</v>
      </c>
      <c r="F370">
        <v>1</v>
      </c>
      <c r="G370" t="s">
        <v>712</v>
      </c>
      <c r="H370" t="s">
        <v>715</v>
      </c>
      <c r="I370" t="s">
        <v>485</v>
      </c>
      <c r="O370">
        <v>1</v>
      </c>
      <c r="P370">
        <v>1</v>
      </c>
      <c r="Q370">
        <v>1</v>
      </c>
      <c r="T370">
        <v>2</v>
      </c>
      <c r="U370">
        <f t="shared" si="40"/>
        <v>4</v>
      </c>
      <c r="V370">
        <f t="shared" si="41"/>
        <v>5</v>
      </c>
      <c r="W370" s="4">
        <f t="shared" si="38"/>
        <v>1.25</v>
      </c>
      <c r="X370" s="4">
        <f t="shared" si="39"/>
        <v>62.5</v>
      </c>
      <c r="Y370" t="s">
        <v>714</v>
      </c>
      <c r="Z370">
        <f t="shared" si="42"/>
        <v>528</v>
      </c>
      <c r="AA370">
        <f t="shared" si="44"/>
        <v>0</v>
      </c>
    </row>
    <row r="371" spans="1:27" x14ac:dyDescent="0.2">
      <c r="A371">
        <v>3</v>
      </c>
      <c r="B371" t="s">
        <v>129</v>
      </c>
      <c r="C371">
        <v>9</v>
      </c>
      <c r="D371" t="s">
        <v>147</v>
      </c>
      <c r="E371" t="s">
        <v>578</v>
      </c>
      <c r="F371">
        <v>1</v>
      </c>
      <c r="G371" t="s">
        <v>712</v>
      </c>
      <c r="H371" t="s">
        <v>716</v>
      </c>
      <c r="I371" t="s">
        <v>485</v>
      </c>
      <c r="O371">
        <v>1</v>
      </c>
      <c r="P371">
        <v>1</v>
      </c>
      <c r="Q371">
        <v>1</v>
      </c>
      <c r="T371">
        <v>2</v>
      </c>
      <c r="U371">
        <f t="shared" si="40"/>
        <v>4</v>
      </c>
      <c r="V371">
        <f t="shared" si="41"/>
        <v>5</v>
      </c>
      <c r="W371" s="4">
        <f t="shared" si="38"/>
        <v>1.25</v>
      </c>
      <c r="X371" s="4">
        <f t="shared" si="39"/>
        <v>62.5</v>
      </c>
      <c r="Y371" t="s">
        <v>714</v>
      </c>
      <c r="Z371">
        <f t="shared" si="42"/>
        <v>520</v>
      </c>
      <c r="AA371">
        <f t="shared" si="44"/>
        <v>0</v>
      </c>
    </row>
    <row r="372" spans="1:27" x14ac:dyDescent="0.2">
      <c r="A372">
        <v>1</v>
      </c>
      <c r="B372" t="s">
        <v>129</v>
      </c>
      <c r="C372">
        <v>9</v>
      </c>
      <c r="D372" t="s">
        <v>147</v>
      </c>
      <c r="E372" t="s">
        <v>578</v>
      </c>
      <c r="F372">
        <v>1</v>
      </c>
      <c r="G372" t="s">
        <v>717</v>
      </c>
      <c r="H372" t="s">
        <v>718</v>
      </c>
      <c r="I372" t="s">
        <v>485</v>
      </c>
      <c r="O372">
        <v>2</v>
      </c>
      <c r="P372">
        <v>2</v>
      </c>
      <c r="Q372">
        <v>2</v>
      </c>
      <c r="T372">
        <v>2</v>
      </c>
      <c r="U372">
        <f t="shared" si="40"/>
        <v>4</v>
      </c>
      <c r="V372">
        <f t="shared" si="41"/>
        <v>8</v>
      </c>
      <c r="W372" s="4">
        <f t="shared" si="38"/>
        <v>2</v>
      </c>
      <c r="X372" s="4">
        <f t="shared" si="39"/>
        <v>100</v>
      </c>
      <c r="Z372">
        <f t="shared" si="42"/>
        <v>805</v>
      </c>
      <c r="AA372">
        <f t="shared" si="44"/>
        <v>0</v>
      </c>
    </row>
    <row r="373" spans="1:27" x14ac:dyDescent="0.2">
      <c r="A373">
        <v>2</v>
      </c>
      <c r="B373" t="s">
        <v>129</v>
      </c>
      <c r="C373">
        <v>9</v>
      </c>
      <c r="D373" t="s">
        <v>147</v>
      </c>
      <c r="E373" t="s">
        <v>578</v>
      </c>
      <c r="F373">
        <v>1</v>
      </c>
      <c r="G373" t="s">
        <v>717</v>
      </c>
      <c r="H373" t="s">
        <v>719</v>
      </c>
      <c r="I373" t="s">
        <v>485</v>
      </c>
      <c r="O373">
        <v>1</v>
      </c>
      <c r="P373">
        <v>1</v>
      </c>
      <c r="Q373">
        <v>1</v>
      </c>
      <c r="T373">
        <v>1</v>
      </c>
      <c r="U373">
        <f t="shared" si="40"/>
        <v>4</v>
      </c>
      <c r="V373">
        <f t="shared" si="41"/>
        <v>4</v>
      </c>
      <c r="W373" s="4">
        <f t="shared" si="38"/>
        <v>1</v>
      </c>
      <c r="X373" s="4">
        <f t="shared" si="39"/>
        <v>50</v>
      </c>
      <c r="Z373">
        <f t="shared" si="42"/>
        <v>341</v>
      </c>
      <c r="AA373">
        <f t="shared" si="44"/>
        <v>0</v>
      </c>
    </row>
    <row r="374" spans="1:27" x14ac:dyDescent="0.2">
      <c r="A374">
        <v>3</v>
      </c>
      <c r="B374" t="s">
        <v>129</v>
      </c>
      <c r="C374">
        <v>9</v>
      </c>
      <c r="D374" t="s">
        <v>147</v>
      </c>
      <c r="E374" t="s">
        <v>578</v>
      </c>
      <c r="F374">
        <v>1</v>
      </c>
      <c r="G374" t="s">
        <v>717</v>
      </c>
      <c r="H374" t="s">
        <v>720</v>
      </c>
      <c r="I374" t="s">
        <v>485</v>
      </c>
      <c r="O374">
        <v>2</v>
      </c>
      <c r="P374">
        <v>2</v>
      </c>
      <c r="Q374">
        <v>2</v>
      </c>
      <c r="T374">
        <v>2</v>
      </c>
      <c r="U374">
        <f t="shared" si="40"/>
        <v>4</v>
      </c>
      <c r="V374">
        <f t="shared" si="41"/>
        <v>8</v>
      </c>
      <c r="W374" s="4">
        <f t="shared" si="38"/>
        <v>2</v>
      </c>
      <c r="X374" s="4">
        <f t="shared" si="39"/>
        <v>100</v>
      </c>
      <c r="Z374">
        <f t="shared" si="42"/>
        <v>904</v>
      </c>
      <c r="AA374">
        <f t="shared" si="44"/>
        <v>0</v>
      </c>
    </row>
    <row r="375" spans="1:27" x14ac:dyDescent="0.2">
      <c r="A375">
        <v>1</v>
      </c>
      <c r="B375" t="s">
        <v>129</v>
      </c>
      <c r="C375">
        <v>9</v>
      </c>
      <c r="D375" t="s">
        <v>147</v>
      </c>
      <c r="E375" t="s">
        <v>578</v>
      </c>
      <c r="F375">
        <v>1</v>
      </c>
      <c r="G375" t="s">
        <v>721</v>
      </c>
      <c r="H375" t="s">
        <v>722</v>
      </c>
      <c r="I375" t="s">
        <v>485</v>
      </c>
      <c r="O375">
        <v>2</v>
      </c>
      <c r="P375">
        <v>2</v>
      </c>
      <c r="Q375">
        <v>2</v>
      </c>
      <c r="T375">
        <v>0</v>
      </c>
      <c r="U375">
        <f t="shared" si="40"/>
        <v>4</v>
      </c>
      <c r="V375">
        <f t="shared" si="41"/>
        <v>6</v>
      </c>
      <c r="W375" s="4">
        <f t="shared" si="38"/>
        <v>1.5</v>
      </c>
      <c r="X375" s="4">
        <f t="shared" si="39"/>
        <v>75</v>
      </c>
      <c r="Y375" t="s">
        <v>723</v>
      </c>
      <c r="Z375">
        <f t="shared" si="42"/>
        <v>767</v>
      </c>
      <c r="AA375">
        <f t="shared" si="44"/>
        <v>0</v>
      </c>
    </row>
    <row r="376" spans="1:27" x14ac:dyDescent="0.2">
      <c r="A376">
        <v>2</v>
      </c>
      <c r="B376" t="s">
        <v>129</v>
      </c>
      <c r="C376">
        <v>9</v>
      </c>
      <c r="D376" t="s">
        <v>147</v>
      </c>
      <c r="E376" t="s">
        <v>578</v>
      </c>
      <c r="F376">
        <v>1</v>
      </c>
      <c r="G376" t="s">
        <v>721</v>
      </c>
      <c r="H376" t="s">
        <v>724</v>
      </c>
      <c r="I376" t="s">
        <v>485</v>
      </c>
      <c r="O376">
        <v>1</v>
      </c>
      <c r="P376">
        <v>1</v>
      </c>
      <c r="Q376">
        <v>1</v>
      </c>
      <c r="T376">
        <v>2</v>
      </c>
      <c r="U376">
        <f t="shared" si="40"/>
        <v>4</v>
      </c>
      <c r="V376">
        <f t="shared" si="41"/>
        <v>5</v>
      </c>
      <c r="W376" s="4">
        <f t="shared" si="38"/>
        <v>1.25</v>
      </c>
      <c r="X376" s="4">
        <f t="shared" si="39"/>
        <v>62.5</v>
      </c>
      <c r="Z376">
        <f t="shared" si="42"/>
        <v>399</v>
      </c>
      <c r="AA376">
        <f t="shared" si="44"/>
        <v>0</v>
      </c>
    </row>
    <row r="377" spans="1:27" x14ac:dyDescent="0.2">
      <c r="A377">
        <v>3</v>
      </c>
      <c r="B377" t="s">
        <v>129</v>
      </c>
      <c r="C377">
        <v>9</v>
      </c>
      <c r="D377" t="s">
        <v>147</v>
      </c>
      <c r="E377" t="s">
        <v>578</v>
      </c>
      <c r="F377">
        <v>1</v>
      </c>
      <c r="G377" t="s">
        <v>721</v>
      </c>
      <c r="H377" t="s">
        <v>725</v>
      </c>
      <c r="I377" t="s">
        <v>485</v>
      </c>
      <c r="O377">
        <v>1</v>
      </c>
      <c r="P377">
        <v>1</v>
      </c>
      <c r="Q377">
        <v>1</v>
      </c>
      <c r="T377">
        <v>2</v>
      </c>
      <c r="U377">
        <f t="shared" si="40"/>
        <v>4</v>
      </c>
      <c r="V377">
        <f t="shared" si="41"/>
        <v>5</v>
      </c>
      <c r="W377" s="4">
        <f t="shared" si="38"/>
        <v>1.25</v>
      </c>
      <c r="X377" s="4">
        <f t="shared" si="39"/>
        <v>62.5</v>
      </c>
      <c r="Z377">
        <f t="shared" si="42"/>
        <v>484</v>
      </c>
      <c r="AA377">
        <f t="shared" si="44"/>
        <v>0</v>
      </c>
    </row>
    <row r="378" spans="1:27" x14ac:dyDescent="0.2">
      <c r="A378">
        <v>1</v>
      </c>
      <c r="B378" t="s">
        <v>129</v>
      </c>
      <c r="C378">
        <v>9</v>
      </c>
      <c r="D378" t="s">
        <v>147</v>
      </c>
      <c r="E378" t="s">
        <v>578</v>
      </c>
      <c r="F378">
        <v>1</v>
      </c>
      <c r="G378" t="s">
        <v>726</v>
      </c>
      <c r="H378" t="s">
        <v>727</v>
      </c>
      <c r="I378" t="s">
        <v>485</v>
      </c>
      <c r="O378">
        <v>2</v>
      </c>
      <c r="P378">
        <v>2</v>
      </c>
      <c r="Q378">
        <v>2</v>
      </c>
      <c r="T378">
        <v>2</v>
      </c>
      <c r="U378">
        <f t="shared" si="40"/>
        <v>4</v>
      </c>
      <c r="V378">
        <f t="shared" si="41"/>
        <v>8</v>
      </c>
      <c r="W378" s="4">
        <f t="shared" si="38"/>
        <v>2</v>
      </c>
      <c r="X378" s="4">
        <f t="shared" si="39"/>
        <v>100</v>
      </c>
      <c r="Y378" t="s">
        <v>728</v>
      </c>
      <c r="Z378">
        <f t="shared" si="42"/>
        <v>794</v>
      </c>
      <c r="AA378">
        <f t="shared" si="44"/>
        <v>0</v>
      </c>
    </row>
    <row r="379" spans="1:27" x14ac:dyDescent="0.2">
      <c r="A379">
        <v>2</v>
      </c>
      <c r="B379" t="s">
        <v>129</v>
      </c>
      <c r="C379">
        <v>9</v>
      </c>
      <c r="D379" t="s">
        <v>147</v>
      </c>
      <c r="E379" t="s">
        <v>578</v>
      </c>
      <c r="F379">
        <v>1</v>
      </c>
      <c r="G379" t="s">
        <v>726</v>
      </c>
      <c r="H379" t="s">
        <v>729</v>
      </c>
      <c r="I379" t="s">
        <v>485</v>
      </c>
      <c r="O379">
        <v>2</v>
      </c>
      <c r="P379">
        <v>2</v>
      </c>
      <c r="Q379">
        <v>2</v>
      </c>
      <c r="T379">
        <v>2</v>
      </c>
      <c r="U379">
        <f t="shared" si="40"/>
        <v>4</v>
      </c>
      <c r="V379">
        <f t="shared" si="41"/>
        <v>8</v>
      </c>
      <c r="W379" s="4">
        <f t="shared" si="38"/>
        <v>2</v>
      </c>
      <c r="X379" s="4">
        <f t="shared" si="39"/>
        <v>100</v>
      </c>
      <c r="Z379">
        <f t="shared" si="42"/>
        <v>972</v>
      </c>
      <c r="AA379">
        <f t="shared" si="44"/>
        <v>0</v>
      </c>
    </row>
    <row r="380" spans="1:27" x14ac:dyDescent="0.2">
      <c r="A380">
        <v>3</v>
      </c>
      <c r="B380" t="s">
        <v>129</v>
      </c>
      <c r="C380">
        <v>9</v>
      </c>
      <c r="D380" t="s">
        <v>147</v>
      </c>
      <c r="E380" t="s">
        <v>578</v>
      </c>
      <c r="F380">
        <v>1</v>
      </c>
      <c r="G380" t="s">
        <v>726</v>
      </c>
      <c r="H380" t="s">
        <v>730</v>
      </c>
      <c r="I380" t="s">
        <v>485</v>
      </c>
      <c r="O380">
        <v>2</v>
      </c>
      <c r="P380">
        <v>2</v>
      </c>
      <c r="Q380">
        <v>2</v>
      </c>
      <c r="T380">
        <v>2</v>
      </c>
      <c r="U380">
        <f t="shared" si="40"/>
        <v>4</v>
      </c>
      <c r="V380">
        <f t="shared" si="41"/>
        <v>8</v>
      </c>
      <c r="W380" s="4">
        <f t="shared" si="38"/>
        <v>2</v>
      </c>
      <c r="X380" s="4">
        <f t="shared" si="39"/>
        <v>100</v>
      </c>
      <c r="Z380">
        <f t="shared" si="42"/>
        <v>739</v>
      </c>
      <c r="AA380">
        <f t="shared" si="44"/>
        <v>0</v>
      </c>
    </row>
    <row r="381" spans="1:27" x14ac:dyDescent="0.2">
      <c r="A381">
        <v>1</v>
      </c>
      <c r="B381" t="s">
        <v>129</v>
      </c>
      <c r="C381">
        <v>9</v>
      </c>
      <c r="D381" t="s">
        <v>147</v>
      </c>
      <c r="E381" t="s">
        <v>578</v>
      </c>
      <c r="F381">
        <v>1</v>
      </c>
      <c r="G381" t="s">
        <v>731</v>
      </c>
      <c r="H381" t="s">
        <v>732</v>
      </c>
      <c r="I381" t="s">
        <v>485</v>
      </c>
      <c r="O381">
        <v>2</v>
      </c>
      <c r="P381">
        <v>2</v>
      </c>
      <c r="Q381">
        <v>2</v>
      </c>
      <c r="T381">
        <v>1</v>
      </c>
      <c r="U381">
        <f t="shared" si="40"/>
        <v>4</v>
      </c>
      <c r="V381">
        <f t="shared" si="41"/>
        <v>7</v>
      </c>
      <c r="W381" s="4">
        <f t="shared" si="38"/>
        <v>1.75</v>
      </c>
      <c r="X381" s="4">
        <f t="shared" si="39"/>
        <v>87.5</v>
      </c>
      <c r="Z381">
        <f t="shared" si="42"/>
        <v>707</v>
      </c>
      <c r="AA381">
        <f t="shared" si="44"/>
        <v>0</v>
      </c>
    </row>
    <row r="382" spans="1:27" x14ac:dyDescent="0.2">
      <c r="A382">
        <v>2</v>
      </c>
      <c r="B382" t="s">
        <v>129</v>
      </c>
      <c r="C382">
        <v>9</v>
      </c>
      <c r="D382" t="s">
        <v>147</v>
      </c>
      <c r="E382" t="s">
        <v>578</v>
      </c>
      <c r="F382">
        <v>1</v>
      </c>
      <c r="G382" t="s">
        <v>731</v>
      </c>
      <c r="H382" t="s">
        <v>733</v>
      </c>
      <c r="I382" t="s">
        <v>485</v>
      </c>
      <c r="O382">
        <v>2</v>
      </c>
      <c r="P382">
        <v>2</v>
      </c>
      <c r="Q382">
        <v>2</v>
      </c>
      <c r="T382">
        <v>1</v>
      </c>
      <c r="U382">
        <f t="shared" si="40"/>
        <v>4</v>
      </c>
      <c r="V382">
        <f t="shared" si="41"/>
        <v>7</v>
      </c>
      <c r="W382" s="4">
        <f t="shared" si="38"/>
        <v>1.75</v>
      </c>
      <c r="X382" s="4">
        <f t="shared" si="39"/>
        <v>87.5</v>
      </c>
      <c r="Z382">
        <f t="shared" si="42"/>
        <v>750</v>
      </c>
      <c r="AA382">
        <f t="shared" si="44"/>
        <v>0</v>
      </c>
    </row>
    <row r="383" spans="1:27" x14ac:dyDescent="0.2">
      <c r="A383">
        <v>3</v>
      </c>
      <c r="B383" t="s">
        <v>129</v>
      </c>
      <c r="C383">
        <v>9</v>
      </c>
      <c r="D383" t="s">
        <v>147</v>
      </c>
      <c r="E383" t="s">
        <v>578</v>
      </c>
      <c r="F383">
        <v>1</v>
      </c>
      <c r="G383" t="s">
        <v>731</v>
      </c>
      <c r="H383" t="s">
        <v>734</v>
      </c>
      <c r="I383" t="s">
        <v>485</v>
      </c>
      <c r="O383">
        <v>2</v>
      </c>
      <c r="P383">
        <v>2</v>
      </c>
      <c r="Q383">
        <v>2</v>
      </c>
      <c r="T383">
        <v>1</v>
      </c>
      <c r="U383">
        <f t="shared" si="40"/>
        <v>4</v>
      </c>
      <c r="V383">
        <f t="shared" si="41"/>
        <v>7</v>
      </c>
      <c r="W383" s="4">
        <f t="shared" si="38"/>
        <v>1.75</v>
      </c>
      <c r="X383" s="4">
        <f t="shared" si="39"/>
        <v>87.5</v>
      </c>
      <c r="Z383">
        <f t="shared" si="42"/>
        <v>799</v>
      </c>
      <c r="AA383">
        <f t="shared" si="44"/>
        <v>0</v>
      </c>
    </row>
    <row r="384" spans="1:27" x14ac:dyDescent="0.2">
      <c r="A384">
        <v>1</v>
      </c>
      <c r="B384" t="s">
        <v>129</v>
      </c>
      <c r="C384">
        <v>9</v>
      </c>
      <c r="D384" t="s">
        <v>147</v>
      </c>
      <c r="E384" t="s">
        <v>578</v>
      </c>
      <c r="F384">
        <v>1</v>
      </c>
      <c r="G384" t="s">
        <v>735</v>
      </c>
      <c r="H384" t="s">
        <v>736</v>
      </c>
      <c r="I384" t="s">
        <v>485</v>
      </c>
      <c r="O384">
        <v>1</v>
      </c>
      <c r="P384">
        <v>1</v>
      </c>
      <c r="Q384">
        <v>1</v>
      </c>
      <c r="T384">
        <v>2</v>
      </c>
      <c r="U384">
        <f t="shared" si="40"/>
        <v>4</v>
      </c>
      <c r="V384">
        <f t="shared" si="41"/>
        <v>5</v>
      </c>
      <c r="W384" s="4">
        <f t="shared" si="38"/>
        <v>1.25</v>
      </c>
      <c r="X384" s="4">
        <f t="shared" si="39"/>
        <v>62.5</v>
      </c>
      <c r="Y384" t="s">
        <v>737</v>
      </c>
      <c r="Z384">
        <f t="shared" si="42"/>
        <v>535</v>
      </c>
      <c r="AA384">
        <f t="shared" si="44"/>
        <v>0</v>
      </c>
    </row>
    <row r="385" spans="1:27" x14ac:dyDescent="0.2">
      <c r="A385">
        <v>2</v>
      </c>
      <c r="B385" t="s">
        <v>129</v>
      </c>
      <c r="C385">
        <v>9</v>
      </c>
      <c r="D385" t="s">
        <v>147</v>
      </c>
      <c r="E385" t="s">
        <v>578</v>
      </c>
      <c r="F385">
        <v>1</v>
      </c>
      <c r="G385" t="s">
        <v>735</v>
      </c>
      <c r="H385" t="s">
        <v>738</v>
      </c>
      <c r="I385" t="s">
        <v>485</v>
      </c>
      <c r="O385">
        <v>1</v>
      </c>
      <c r="P385">
        <v>1</v>
      </c>
      <c r="Q385">
        <v>1</v>
      </c>
      <c r="T385">
        <v>2</v>
      </c>
      <c r="U385">
        <f t="shared" si="40"/>
        <v>4</v>
      </c>
      <c r="V385">
        <f t="shared" si="41"/>
        <v>5</v>
      </c>
      <c r="W385" s="4">
        <f t="shared" si="38"/>
        <v>1.25</v>
      </c>
      <c r="X385" s="4">
        <f t="shared" si="39"/>
        <v>62.5</v>
      </c>
      <c r="Z385">
        <f t="shared" si="42"/>
        <v>605</v>
      </c>
      <c r="AA385">
        <f t="shared" si="44"/>
        <v>0</v>
      </c>
    </row>
    <row r="386" spans="1:27" x14ac:dyDescent="0.2">
      <c r="A386">
        <v>3</v>
      </c>
      <c r="B386" t="s">
        <v>129</v>
      </c>
      <c r="C386">
        <v>9</v>
      </c>
      <c r="D386" t="s">
        <v>147</v>
      </c>
      <c r="E386" t="s">
        <v>578</v>
      </c>
      <c r="F386">
        <v>1</v>
      </c>
      <c r="G386" t="s">
        <v>735</v>
      </c>
      <c r="H386" t="s">
        <v>739</v>
      </c>
      <c r="I386" t="s">
        <v>485</v>
      </c>
      <c r="O386">
        <v>1</v>
      </c>
      <c r="P386">
        <v>1</v>
      </c>
      <c r="Q386">
        <v>1</v>
      </c>
      <c r="T386">
        <v>2</v>
      </c>
      <c r="U386">
        <f t="shared" si="40"/>
        <v>4</v>
      </c>
      <c r="V386">
        <f t="shared" si="41"/>
        <v>5</v>
      </c>
      <c r="W386" s="4">
        <f t="shared" ref="W386:W449" si="45">IF(U386=0,"",V386/U386)</f>
        <v>1.25</v>
      </c>
      <c r="X386" s="4">
        <f t="shared" ref="X386:X449" si="46">IF(W386="","",W386/2*100)</f>
        <v>62.5</v>
      </c>
      <c r="Z386">
        <f t="shared" si="42"/>
        <v>524</v>
      </c>
      <c r="AA386">
        <f t="shared" si="44"/>
        <v>0</v>
      </c>
    </row>
    <row r="387" spans="1:27" x14ac:dyDescent="0.2">
      <c r="A387">
        <v>1</v>
      </c>
      <c r="B387" t="s">
        <v>129</v>
      </c>
      <c r="C387">
        <v>9</v>
      </c>
      <c r="D387" t="s">
        <v>147</v>
      </c>
      <c r="E387" t="s">
        <v>578</v>
      </c>
      <c r="F387">
        <v>1</v>
      </c>
      <c r="G387" t="s">
        <v>740</v>
      </c>
      <c r="H387" t="s">
        <v>741</v>
      </c>
      <c r="I387" t="s">
        <v>485</v>
      </c>
      <c r="O387">
        <v>1</v>
      </c>
      <c r="P387">
        <v>1</v>
      </c>
      <c r="Q387">
        <v>1</v>
      </c>
      <c r="T387">
        <v>0</v>
      </c>
      <c r="U387">
        <f t="shared" ref="U387:U450" si="47">COUNT(J387:T387)</f>
        <v>4</v>
      </c>
      <c r="V387">
        <f t="shared" ref="V387:V450" si="48">SUM(J387:T387)</f>
        <v>3</v>
      </c>
      <c r="W387" s="4">
        <f t="shared" si="45"/>
        <v>0.75</v>
      </c>
      <c r="X387" s="4">
        <f t="shared" si="46"/>
        <v>37.5</v>
      </c>
      <c r="Z387">
        <f t="shared" ref="Z387:Z450" si="49">LEN(H387)</f>
        <v>174</v>
      </c>
      <c r="AA387">
        <f t="shared" si="44"/>
        <v>1</v>
      </c>
    </row>
    <row r="388" spans="1:27" x14ac:dyDescent="0.2">
      <c r="A388">
        <v>2</v>
      </c>
      <c r="B388" t="s">
        <v>129</v>
      </c>
      <c r="C388">
        <v>9</v>
      </c>
      <c r="D388" t="s">
        <v>147</v>
      </c>
      <c r="E388" t="s">
        <v>578</v>
      </c>
      <c r="F388">
        <v>1</v>
      </c>
      <c r="G388" t="s">
        <v>740</v>
      </c>
      <c r="H388" t="s">
        <v>742</v>
      </c>
      <c r="I388" t="s">
        <v>485</v>
      </c>
      <c r="O388">
        <v>1</v>
      </c>
      <c r="P388">
        <v>1</v>
      </c>
      <c r="Q388">
        <v>1</v>
      </c>
      <c r="T388">
        <v>2</v>
      </c>
      <c r="U388">
        <f t="shared" si="47"/>
        <v>4</v>
      </c>
      <c r="V388">
        <f t="shared" si="48"/>
        <v>5</v>
      </c>
      <c r="W388" s="4">
        <f t="shared" si="45"/>
        <v>1.25</v>
      </c>
      <c r="X388" s="4">
        <f t="shared" si="46"/>
        <v>62.5</v>
      </c>
      <c r="Z388">
        <f t="shared" si="49"/>
        <v>408</v>
      </c>
      <c r="AA388">
        <f t="shared" si="44"/>
        <v>0</v>
      </c>
    </row>
    <row r="389" spans="1:27" x14ac:dyDescent="0.2">
      <c r="A389">
        <v>3</v>
      </c>
      <c r="B389" t="s">
        <v>129</v>
      </c>
      <c r="C389">
        <v>9</v>
      </c>
      <c r="D389" t="s">
        <v>147</v>
      </c>
      <c r="E389" t="s">
        <v>578</v>
      </c>
      <c r="F389">
        <v>1</v>
      </c>
      <c r="G389" t="s">
        <v>740</v>
      </c>
      <c r="H389" t="s">
        <v>743</v>
      </c>
      <c r="I389" t="s">
        <v>485</v>
      </c>
      <c r="O389">
        <v>1</v>
      </c>
      <c r="P389">
        <v>1</v>
      </c>
      <c r="Q389">
        <v>1</v>
      </c>
      <c r="T389">
        <v>2</v>
      </c>
      <c r="U389">
        <f t="shared" si="47"/>
        <v>4</v>
      </c>
      <c r="V389">
        <f t="shared" si="48"/>
        <v>5</v>
      </c>
      <c r="W389" s="4">
        <f t="shared" si="45"/>
        <v>1.25</v>
      </c>
      <c r="X389" s="4">
        <f t="shared" si="46"/>
        <v>62.5</v>
      </c>
      <c r="Z389">
        <f t="shared" si="49"/>
        <v>401</v>
      </c>
      <c r="AA389">
        <f t="shared" si="44"/>
        <v>0</v>
      </c>
    </row>
    <row r="390" spans="1:27" x14ac:dyDescent="0.2">
      <c r="A390">
        <v>1</v>
      </c>
      <c r="B390" t="s">
        <v>129</v>
      </c>
      <c r="C390">
        <v>9</v>
      </c>
      <c r="D390" t="s">
        <v>147</v>
      </c>
      <c r="E390" t="s">
        <v>578</v>
      </c>
      <c r="F390">
        <v>1</v>
      </c>
      <c r="G390" t="s">
        <v>744</v>
      </c>
      <c r="H390" t="s">
        <v>745</v>
      </c>
      <c r="I390" t="s">
        <v>485</v>
      </c>
      <c r="O390">
        <v>2</v>
      </c>
      <c r="P390">
        <v>2</v>
      </c>
      <c r="Q390">
        <v>2</v>
      </c>
      <c r="T390">
        <v>2</v>
      </c>
      <c r="U390">
        <f t="shared" si="47"/>
        <v>4</v>
      </c>
      <c r="V390">
        <f t="shared" si="48"/>
        <v>8</v>
      </c>
      <c r="W390" s="4">
        <f t="shared" si="45"/>
        <v>2</v>
      </c>
      <c r="X390" s="4">
        <f t="shared" si="46"/>
        <v>100</v>
      </c>
      <c r="Z390">
        <f t="shared" si="49"/>
        <v>680</v>
      </c>
      <c r="AA390">
        <f t="shared" si="44"/>
        <v>0</v>
      </c>
    </row>
    <row r="391" spans="1:27" x14ac:dyDescent="0.2">
      <c r="A391">
        <v>2</v>
      </c>
      <c r="B391" t="s">
        <v>129</v>
      </c>
      <c r="C391">
        <v>9</v>
      </c>
      <c r="D391" t="s">
        <v>147</v>
      </c>
      <c r="E391" t="s">
        <v>578</v>
      </c>
      <c r="F391">
        <v>1</v>
      </c>
      <c r="G391" t="s">
        <v>744</v>
      </c>
      <c r="H391" t="s">
        <v>746</v>
      </c>
      <c r="I391" t="s">
        <v>485</v>
      </c>
      <c r="O391">
        <v>2</v>
      </c>
      <c r="P391">
        <v>2</v>
      </c>
      <c r="Q391">
        <v>2</v>
      </c>
      <c r="T391">
        <v>2</v>
      </c>
      <c r="U391">
        <f t="shared" si="47"/>
        <v>4</v>
      </c>
      <c r="V391">
        <f t="shared" si="48"/>
        <v>8</v>
      </c>
      <c r="W391" s="4">
        <f t="shared" si="45"/>
        <v>2</v>
      </c>
      <c r="X391" s="4">
        <f t="shared" si="46"/>
        <v>100</v>
      </c>
      <c r="Z391">
        <f t="shared" si="49"/>
        <v>784</v>
      </c>
      <c r="AA391">
        <f t="shared" si="44"/>
        <v>0</v>
      </c>
    </row>
    <row r="392" spans="1:27" x14ac:dyDescent="0.2">
      <c r="A392">
        <v>3</v>
      </c>
      <c r="B392" t="s">
        <v>129</v>
      </c>
      <c r="C392">
        <v>9</v>
      </c>
      <c r="D392" t="s">
        <v>147</v>
      </c>
      <c r="E392" t="s">
        <v>578</v>
      </c>
      <c r="F392">
        <v>1</v>
      </c>
      <c r="G392" t="s">
        <v>744</v>
      </c>
      <c r="H392" t="s">
        <v>747</v>
      </c>
      <c r="I392" t="s">
        <v>485</v>
      </c>
      <c r="O392">
        <v>2</v>
      </c>
      <c r="P392">
        <v>2</v>
      </c>
      <c r="Q392">
        <v>2</v>
      </c>
      <c r="T392">
        <v>2</v>
      </c>
      <c r="U392">
        <f t="shared" si="47"/>
        <v>4</v>
      </c>
      <c r="V392">
        <f t="shared" si="48"/>
        <v>8</v>
      </c>
      <c r="W392" s="4">
        <f t="shared" si="45"/>
        <v>2</v>
      </c>
      <c r="X392" s="4">
        <f t="shared" si="46"/>
        <v>100</v>
      </c>
      <c r="Z392">
        <f t="shared" si="49"/>
        <v>781</v>
      </c>
      <c r="AA392">
        <f t="shared" si="44"/>
        <v>0</v>
      </c>
    </row>
    <row r="393" spans="1:27" x14ac:dyDescent="0.2">
      <c r="A393">
        <v>1</v>
      </c>
      <c r="B393" t="s">
        <v>129</v>
      </c>
      <c r="C393">
        <v>9</v>
      </c>
      <c r="D393" t="s">
        <v>147</v>
      </c>
      <c r="E393" t="s">
        <v>578</v>
      </c>
      <c r="F393">
        <v>1</v>
      </c>
      <c r="G393" t="s">
        <v>748</v>
      </c>
      <c r="H393" t="s">
        <v>749</v>
      </c>
      <c r="I393" t="s">
        <v>485</v>
      </c>
      <c r="O393">
        <v>1</v>
      </c>
      <c r="P393">
        <v>1</v>
      </c>
      <c r="Q393">
        <v>1</v>
      </c>
      <c r="T393">
        <v>2</v>
      </c>
      <c r="U393">
        <f t="shared" si="47"/>
        <v>4</v>
      </c>
      <c r="V393">
        <f t="shared" si="48"/>
        <v>5</v>
      </c>
      <c r="W393" s="4">
        <f t="shared" si="45"/>
        <v>1.25</v>
      </c>
      <c r="X393" s="4">
        <f t="shared" si="46"/>
        <v>62.5</v>
      </c>
      <c r="Z393">
        <f t="shared" si="49"/>
        <v>410</v>
      </c>
      <c r="AA393">
        <f t="shared" si="44"/>
        <v>0</v>
      </c>
    </row>
    <row r="394" spans="1:27" x14ac:dyDescent="0.2">
      <c r="A394">
        <v>2</v>
      </c>
      <c r="B394" t="s">
        <v>129</v>
      </c>
      <c r="C394">
        <v>9</v>
      </c>
      <c r="D394" t="s">
        <v>147</v>
      </c>
      <c r="E394" t="s">
        <v>578</v>
      </c>
      <c r="F394">
        <v>1</v>
      </c>
      <c r="G394" t="s">
        <v>748</v>
      </c>
      <c r="H394" t="s">
        <v>750</v>
      </c>
      <c r="I394" t="s">
        <v>485</v>
      </c>
      <c r="O394">
        <v>1</v>
      </c>
      <c r="P394">
        <v>1</v>
      </c>
      <c r="Q394">
        <v>1</v>
      </c>
      <c r="T394">
        <v>2</v>
      </c>
      <c r="U394">
        <f t="shared" si="47"/>
        <v>4</v>
      </c>
      <c r="V394">
        <f t="shared" si="48"/>
        <v>5</v>
      </c>
      <c r="W394" s="4">
        <f t="shared" si="45"/>
        <v>1.25</v>
      </c>
      <c r="X394" s="4">
        <f t="shared" si="46"/>
        <v>62.5</v>
      </c>
      <c r="Z394">
        <f t="shared" si="49"/>
        <v>464</v>
      </c>
      <c r="AA394">
        <f t="shared" si="44"/>
        <v>0</v>
      </c>
    </row>
    <row r="395" spans="1:27" x14ac:dyDescent="0.2">
      <c r="A395">
        <v>3</v>
      </c>
      <c r="B395" t="s">
        <v>129</v>
      </c>
      <c r="C395">
        <v>9</v>
      </c>
      <c r="D395" t="s">
        <v>147</v>
      </c>
      <c r="E395" t="s">
        <v>578</v>
      </c>
      <c r="F395">
        <v>1</v>
      </c>
      <c r="G395" t="s">
        <v>748</v>
      </c>
      <c r="H395" t="s">
        <v>751</v>
      </c>
      <c r="I395" t="s">
        <v>485</v>
      </c>
      <c r="O395">
        <v>1</v>
      </c>
      <c r="P395">
        <v>1</v>
      </c>
      <c r="Q395">
        <v>1</v>
      </c>
      <c r="T395">
        <v>2</v>
      </c>
      <c r="U395">
        <f t="shared" si="47"/>
        <v>4</v>
      </c>
      <c r="V395">
        <f t="shared" si="48"/>
        <v>5</v>
      </c>
      <c r="W395" s="4">
        <f t="shared" si="45"/>
        <v>1.25</v>
      </c>
      <c r="X395" s="4">
        <f t="shared" si="46"/>
        <v>62.5</v>
      </c>
      <c r="Z395">
        <f t="shared" si="49"/>
        <v>506</v>
      </c>
      <c r="AA395">
        <f t="shared" si="44"/>
        <v>0</v>
      </c>
    </row>
    <row r="396" spans="1:27" x14ac:dyDescent="0.2">
      <c r="A396">
        <v>1</v>
      </c>
      <c r="B396" t="s">
        <v>129</v>
      </c>
      <c r="C396">
        <v>9</v>
      </c>
      <c r="D396" t="s">
        <v>147</v>
      </c>
      <c r="E396" t="s">
        <v>578</v>
      </c>
      <c r="F396">
        <v>1</v>
      </c>
      <c r="G396" t="s">
        <v>752</v>
      </c>
      <c r="H396" t="s">
        <v>753</v>
      </c>
      <c r="I396" t="s">
        <v>485</v>
      </c>
      <c r="O396">
        <v>2</v>
      </c>
      <c r="P396">
        <v>2</v>
      </c>
      <c r="Q396">
        <v>2</v>
      </c>
      <c r="T396">
        <v>1</v>
      </c>
      <c r="U396">
        <f t="shared" si="47"/>
        <v>4</v>
      </c>
      <c r="V396">
        <f t="shared" si="48"/>
        <v>7</v>
      </c>
      <c r="W396" s="4">
        <f t="shared" si="45"/>
        <v>1.75</v>
      </c>
      <c r="X396" s="4">
        <f t="shared" si="46"/>
        <v>87.5</v>
      </c>
      <c r="Z396">
        <f t="shared" si="49"/>
        <v>746</v>
      </c>
      <c r="AA396">
        <f>IF(X396&lt;50,1,0)</f>
        <v>0</v>
      </c>
    </row>
    <row r="397" spans="1:27" x14ac:dyDescent="0.2">
      <c r="A397">
        <v>2</v>
      </c>
      <c r="B397" t="s">
        <v>129</v>
      </c>
      <c r="C397">
        <v>9</v>
      </c>
      <c r="D397" t="s">
        <v>147</v>
      </c>
      <c r="E397" t="s">
        <v>578</v>
      </c>
      <c r="F397">
        <v>1</v>
      </c>
      <c r="G397" t="s">
        <v>752</v>
      </c>
      <c r="H397" t="s">
        <v>232</v>
      </c>
      <c r="I397" t="s">
        <v>485</v>
      </c>
      <c r="O397">
        <v>0</v>
      </c>
      <c r="P397">
        <v>0</v>
      </c>
      <c r="Q397">
        <v>0</v>
      </c>
      <c r="T397">
        <v>0</v>
      </c>
      <c r="U397">
        <f t="shared" si="47"/>
        <v>4</v>
      </c>
      <c r="V397">
        <f t="shared" si="48"/>
        <v>0</v>
      </c>
      <c r="W397" s="4">
        <f t="shared" si="45"/>
        <v>0</v>
      </c>
      <c r="X397" s="4">
        <f t="shared" si="46"/>
        <v>0</v>
      </c>
      <c r="Z397">
        <f t="shared" si="49"/>
        <v>24</v>
      </c>
      <c r="AA397">
        <f t="shared" ref="AA397:AA428" si="50">IF(X397&lt;50,1,0)</f>
        <v>1</v>
      </c>
    </row>
    <row r="398" spans="1:27" x14ac:dyDescent="0.2">
      <c r="A398">
        <v>3</v>
      </c>
      <c r="B398" t="s">
        <v>129</v>
      </c>
      <c r="C398">
        <v>9</v>
      </c>
      <c r="D398" t="s">
        <v>147</v>
      </c>
      <c r="E398" t="s">
        <v>578</v>
      </c>
      <c r="F398">
        <v>1</v>
      </c>
      <c r="G398" t="s">
        <v>752</v>
      </c>
      <c r="H398" t="s">
        <v>754</v>
      </c>
      <c r="I398" t="s">
        <v>485</v>
      </c>
      <c r="O398">
        <v>1</v>
      </c>
      <c r="P398">
        <v>1</v>
      </c>
      <c r="Q398">
        <v>1</v>
      </c>
      <c r="T398">
        <v>2</v>
      </c>
      <c r="U398">
        <f t="shared" si="47"/>
        <v>4</v>
      </c>
      <c r="V398">
        <f t="shared" si="48"/>
        <v>5</v>
      </c>
      <c r="W398" s="4">
        <f t="shared" si="45"/>
        <v>1.25</v>
      </c>
      <c r="X398" s="4">
        <f t="shared" si="46"/>
        <v>62.5</v>
      </c>
      <c r="Z398">
        <f t="shared" si="49"/>
        <v>320</v>
      </c>
      <c r="AA398">
        <f t="shared" si="50"/>
        <v>0</v>
      </c>
    </row>
    <row r="399" spans="1:27" x14ac:dyDescent="0.2">
      <c r="A399">
        <v>1</v>
      </c>
      <c r="B399" t="s">
        <v>129</v>
      </c>
      <c r="C399">
        <v>9</v>
      </c>
      <c r="D399" t="s">
        <v>147</v>
      </c>
      <c r="E399" t="s">
        <v>578</v>
      </c>
      <c r="F399">
        <v>1</v>
      </c>
      <c r="G399" t="s">
        <v>755</v>
      </c>
      <c r="H399" t="s">
        <v>756</v>
      </c>
      <c r="I399" t="s">
        <v>485</v>
      </c>
      <c r="O399">
        <v>2</v>
      </c>
      <c r="P399">
        <v>2</v>
      </c>
      <c r="Q399">
        <v>2</v>
      </c>
      <c r="T399">
        <v>1</v>
      </c>
      <c r="U399">
        <f t="shared" si="47"/>
        <v>4</v>
      </c>
      <c r="V399">
        <f t="shared" si="48"/>
        <v>7</v>
      </c>
      <c r="W399" s="4">
        <f t="shared" si="45"/>
        <v>1.75</v>
      </c>
      <c r="X399" s="4">
        <f t="shared" si="46"/>
        <v>87.5</v>
      </c>
      <c r="Y399" t="s">
        <v>723</v>
      </c>
      <c r="Z399">
        <f t="shared" si="49"/>
        <v>793</v>
      </c>
      <c r="AA399">
        <f t="shared" si="50"/>
        <v>0</v>
      </c>
    </row>
    <row r="400" spans="1:27" x14ac:dyDescent="0.2">
      <c r="A400">
        <v>2</v>
      </c>
      <c r="B400" t="s">
        <v>129</v>
      </c>
      <c r="C400">
        <v>9</v>
      </c>
      <c r="D400" t="s">
        <v>147</v>
      </c>
      <c r="E400" t="s">
        <v>578</v>
      </c>
      <c r="F400">
        <v>1</v>
      </c>
      <c r="G400" t="s">
        <v>755</v>
      </c>
      <c r="H400" t="s">
        <v>757</v>
      </c>
      <c r="I400" t="s">
        <v>485</v>
      </c>
      <c r="O400">
        <v>1</v>
      </c>
      <c r="P400">
        <v>1</v>
      </c>
      <c r="Q400">
        <v>1</v>
      </c>
      <c r="T400">
        <v>2</v>
      </c>
      <c r="U400">
        <f t="shared" si="47"/>
        <v>4</v>
      </c>
      <c r="V400">
        <f t="shared" si="48"/>
        <v>5</v>
      </c>
      <c r="W400" s="4">
        <f t="shared" si="45"/>
        <v>1.25</v>
      </c>
      <c r="X400" s="4">
        <f t="shared" si="46"/>
        <v>62.5</v>
      </c>
      <c r="Z400">
        <f t="shared" si="49"/>
        <v>472</v>
      </c>
      <c r="AA400">
        <f t="shared" si="50"/>
        <v>0</v>
      </c>
    </row>
    <row r="401" spans="1:27" x14ac:dyDescent="0.2">
      <c r="A401">
        <v>3</v>
      </c>
      <c r="B401" t="s">
        <v>129</v>
      </c>
      <c r="C401">
        <v>9</v>
      </c>
      <c r="D401" t="s">
        <v>147</v>
      </c>
      <c r="E401" t="s">
        <v>578</v>
      </c>
      <c r="F401">
        <v>1</v>
      </c>
      <c r="G401" t="s">
        <v>755</v>
      </c>
      <c r="H401" t="s">
        <v>758</v>
      </c>
      <c r="I401" t="s">
        <v>485</v>
      </c>
      <c r="O401">
        <v>2</v>
      </c>
      <c r="P401">
        <v>2</v>
      </c>
      <c r="Q401">
        <v>2</v>
      </c>
      <c r="T401">
        <v>2</v>
      </c>
      <c r="U401">
        <f t="shared" si="47"/>
        <v>4</v>
      </c>
      <c r="V401">
        <f t="shared" si="48"/>
        <v>8</v>
      </c>
      <c r="W401" s="4">
        <f t="shared" si="45"/>
        <v>2</v>
      </c>
      <c r="X401" s="4">
        <f t="shared" si="46"/>
        <v>100</v>
      </c>
      <c r="Z401">
        <f t="shared" si="49"/>
        <v>486</v>
      </c>
      <c r="AA401">
        <f t="shared" si="50"/>
        <v>0</v>
      </c>
    </row>
    <row r="402" spans="1:27" x14ac:dyDescent="0.2">
      <c r="A402">
        <v>1</v>
      </c>
      <c r="B402" t="s">
        <v>129</v>
      </c>
      <c r="C402">
        <v>9</v>
      </c>
      <c r="D402" t="s">
        <v>147</v>
      </c>
      <c r="E402" t="s">
        <v>578</v>
      </c>
      <c r="F402">
        <v>1</v>
      </c>
      <c r="G402" t="s">
        <v>759</v>
      </c>
      <c r="H402" t="s">
        <v>760</v>
      </c>
      <c r="I402" t="s">
        <v>485</v>
      </c>
      <c r="O402">
        <v>2</v>
      </c>
      <c r="P402">
        <v>2</v>
      </c>
      <c r="Q402">
        <v>2</v>
      </c>
      <c r="T402">
        <v>1</v>
      </c>
      <c r="U402">
        <f t="shared" si="47"/>
        <v>4</v>
      </c>
      <c r="V402">
        <f t="shared" si="48"/>
        <v>7</v>
      </c>
      <c r="W402" s="4">
        <f t="shared" si="45"/>
        <v>1.75</v>
      </c>
      <c r="X402" s="4">
        <f t="shared" si="46"/>
        <v>87.5</v>
      </c>
      <c r="Z402">
        <f t="shared" si="49"/>
        <v>711</v>
      </c>
      <c r="AA402">
        <f t="shared" si="50"/>
        <v>0</v>
      </c>
    </row>
    <row r="403" spans="1:27" x14ac:dyDescent="0.2">
      <c r="A403">
        <v>2</v>
      </c>
      <c r="B403" t="s">
        <v>129</v>
      </c>
      <c r="C403">
        <v>9</v>
      </c>
      <c r="D403" t="s">
        <v>147</v>
      </c>
      <c r="E403" t="s">
        <v>578</v>
      </c>
      <c r="F403">
        <v>1</v>
      </c>
      <c r="G403" t="s">
        <v>759</v>
      </c>
      <c r="H403" t="s">
        <v>232</v>
      </c>
      <c r="I403" t="s">
        <v>485</v>
      </c>
      <c r="O403">
        <v>0</v>
      </c>
      <c r="P403">
        <v>0</v>
      </c>
      <c r="Q403">
        <v>0</v>
      </c>
      <c r="T403">
        <v>0</v>
      </c>
      <c r="U403">
        <f t="shared" si="47"/>
        <v>4</v>
      </c>
      <c r="V403">
        <f t="shared" si="48"/>
        <v>0</v>
      </c>
      <c r="W403" s="4">
        <f t="shared" si="45"/>
        <v>0</v>
      </c>
      <c r="X403" s="4">
        <f t="shared" si="46"/>
        <v>0</v>
      </c>
      <c r="Z403">
        <f t="shared" si="49"/>
        <v>24</v>
      </c>
      <c r="AA403">
        <f t="shared" si="50"/>
        <v>1</v>
      </c>
    </row>
    <row r="404" spans="1:27" x14ac:dyDescent="0.2">
      <c r="A404">
        <v>3</v>
      </c>
      <c r="B404" t="s">
        <v>129</v>
      </c>
      <c r="C404">
        <v>9</v>
      </c>
      <c r="D404" t="s">
        <v>147</v>
      </c>
      <c r="E404" t="s">
        <v>578</v>
      </c>
      <c r="F404">
        <v>1</v>
      </c>
      <c r="G404" t="s">
        <v>759</v>
      </c>
      <c r="H404" t="s">
        <v>761</v>
      </c>
      <c r="I404" t="s">
        <v>485</v>
      </c>
      <c r="O404">
        <v>1</v>
      </c>
      <c r="P404">
        <v>1</v>
      </c>
      <c r="Q404">
        <v>1</v>
      </c>
      <c r="T404">
        <v>2</v>
      </c>
      <c r="U404">
        <f t="shared" si="47"/>
        <v>4</v>
      </c>
      <c r="V404">
        <f t="shared" si="48"/>
        <v>5</v>
      </c>
      <c r="W404" s="4">
        <f t="shared" si="45"/>
        <v>1.25</v>
      </c>
      <c r="X404" s="4">
        <f t="shared" si="46"/>
        <v>62.5</v>
      </c>
      <c r="Z404">
        <f t="shared" si="49"/>
        <v>399</v>
      </c>
      <c r="AA404">
        <f t="shared" si="50"/>
        <v>0</v>
      </c>
    </row>
    <row r="405" spans="1:27" x14ac:dyDescent="0.2">
      <c r="A405">
        <v>1</v>
      </c>
      <c r="B405" t="s">
        <v>129</v>
      </c>
      <c r="C405">
        <v>9</v>
      </c>
      <c r="D405" t="s">
        <v>147</v>
      </c>
      <c r="E405" t="s">
        <v>578</v>
      </c>
      <c r="F405">
        <v>1</v>
      </c>
      <c r="G405" t="s">
        <v>762</v>
      </c>
      <c r="H405" t="s">
        <v>763</v>
      </c>
      <c r="I405" t="s">
        <v>485</v>
      </c>
      <c r="O405">
        <v>1</v>
      </c>
      <c r="P405">
        <v>1</v>
      </c>
      <c r="Q405">
        <v>1</v>
      </c>
      <c r="T405">
        <v>1</v>
      </c>
      <c r="U405">
        <f t="shared" si="47"/>
        <v>4</v>
      </c>
      <c r="V405">
        <f t="shared" si="48"/>
        <v>4</v>
      </c>
      <c r="W405" s="4">
        <f t="shared" si="45"/>
        <v>1</v>
      </c>
      <c r="X405" s="4">
        <f t="shared" si="46"/>
        <v>50</v>
      </c>
      <c r="Z405">
        <f t="shared" si="49"/>
        <v>477</v>
      </c>
      <c r="AA405">
        <f t="shared" si="50"/>
        <v>0</v>
      </c>
    </row>
    <row r="406" spans="1:27" x14ac:dyDescent="0.2">
      <c r="A406">
        <v>2</v>
      </c>
      <c r="B406" t="s">
        <v>129</v>
      </c>
      <c r="C406">
        <v>9</v>
      </c>
      <c r="D406" t="s">
        <v>147</v>
      </c>
      <c r="E406" t="s">
        <v>578</v>
      </c>
      <c r="F406">
        <v>1</v>
      </c>
      <c r="G406" t="s">
        <v>762</v>
      </c>
      <c r="H406" t="s">
        <v>764</v>
      </c>
      <c r="I406" t="s">
        <v>485</v>
      </c>
      <c r="O406">
        <v>1</v>
      </c>
      <c r="P406">
        <v>1</v>
      </c>
      <c r="Q406">
        <v>1</v>
      </c>
      <c r="T406">
        <v>1</v>
      </c>
      <c r="U406">
        <f t="shared" si="47"/>
        <v>4</v>
      </c>
      <c r="V406">
        <f t="shared" si="48"/>
        <v>4</v>
      </c>
      <c r="W406" s="4">
        <f t="shared" si="45"/>
        <v>1</v>
      </c>
      <c r="X406" s="4">
        <f t="shared" si="46"/>
        <v>50</v>
      </c>
      <c r="Z406">
        <f t="shared" si="49"/>
        <v>496</v>
      </c>
      <c r="AA406">
        <f t="shared" si="50"/>
        <v>0</v>
      </c>
    </row>
    <row r="407" spans="1:27" x14ac:dyDescent="0.2">
      <c r="A407">
        <v>3</v>
      </c>
      <c r="B407" t="s">
        <v>129</v>
      </c>
      <c r="C407">
        <v>9</v>
      </c>
      <c r="D407" t="s">
        <v>147</v>
      </c>
      <c r="E407" t="s">
        <v>578</v>
      </c>
      <c r="F407">
        <v>1</v>
      </c>
      <c r="G407" t="s">
        <v>762</v>
      </c>
      <c r="H407" t="s">
        <v>765</v>
      </c>
      <c r="I407" t="s">
        <v>485</v>
      </c>
      <c r="O407">
        <v>2</v>
      </c>
      <c r="P407">
        <v>2</v>
      </c>
      <c r="Q407">
        <v>2</v>
      </c>
      <c r="T407">
        <v>2</v>
      </c>
      <c r="U407">
        <f t="shared" si="47"/>
        <v>4</v>
      </c>
      <c r="V407">
        <f t="shared" si="48"/>
        <v>8</v>
      </c>
      <c r="W407" s="4">
        <f t="shared" si="45"/>
        <v>2</v>
      </c>
      <c r="X407" s="4">
        <f t="shared" si="46"/>
        <v>100</v>
      </c>
      <c r="Y407" t="s">
        <v>766</v>
      </c>
      <c r="Z407">
        <f t="shared" si="49"/>
        <v>831</v>
      </c>
      <c r="AA407">
        <f t="shared" si="50"/>
        <v>0</v>
      </c>
    </row>
    <row r="408" spans="1:27" x14ac:dyDescent="0.2">
      <c r="A408">
        <v>1</v>
      </c>
      <c r="B408" t="s">
        <v>129</v>
      </c>
      <c r="C408">
        <v>9</v>
      </c>
      <c r="D408" t="s">
        <v>147</v>
      </c>
      <c r="E408" t="s">
        <v>578</v>
      </c>
      <c r="F408">
        <v>1</v>
      </c>
      <c r="G408" t="s">
        <v>767</v>
      </c>
      <c r="H408" t="s">
        <v>768</v>
      </c>
      <c r="I408" t="s">
        <v>485</v>
      </c>
      <c r="O408">
        <v>1</v>
      </c>
      <c r="P408">
        <v>1</v>
      </c>
      <c r="Q408">
        <v>1</v>
      </c>
      <c r="T408">
        <v>1</v>
      </c>
      <c r="U408">
        <f t="shared" si="47"/>
        <v>4</v>
      </c>
      <c r="V408">
        <f t="shared" si="48"/>
        <v>4</v>
      </c>
      <c r="W408" s="4">
        <f t="shared" si="45"/>
        <v>1</v>
      </c>
      <c r="X408" s="4">
        <f t="shared" si="46"/>
        <v>50</v>
      </c>
      <c r="Y408" t="s">
        <v>617</v>
      </c>
      <c r="Z408">
        <f t="shared" si="49"/>
        <v>223</v>
      </c>
      <c r="AA408">
        <f t="shared" si="50"/>
        <v>0</v>
      </c>
    </row>
    <row r="409" spans="1:27" x14ac:dyDescent="0.2">
      <c r="A409">
        <v>2</v>
      </c>
      <c r="B409" t="s">
        <v>129</v>
      </c>
      <c r="C409">
        <v>9</v>
      </c>
      <c r="D409" t="s">
        <v>147</v>
      </c>
      <c r="E409" t="s">
        <v>578</v>
      </c>
      <c r="F409">
        <v>1</v>
      </c>
      <c r="G409" t="s">
        <v>767</v>
      </c>
      <c r="H409" t="s">
        <v>769</v>
      </c>
      <c r="I409" t="s">
        <v>485</v>
      </c>
      <c r="O409">
        <v>1</v>
      </c>
      <c r="P409">
        <v>1</v>
      </c>
      <c r="Q409">
        <v>1</v>
      </c>
      <c r="T409">
        <v>2</v>
      </c>
      <c r="U409">
        <f t="shared" si="47"/>
        <v>4</v>
      </c>
      <c r="V409">
        <f t="shared" si="48"/>
        <v>5</v>
      </c>
      <c r="W409" s="4">
        <f t="shared" si="45"/>
        <v>1.25</v>
      </c>
      <c r="X409" s="4">
        <f t="shared" si="46"/>
        <v>62.5</v>
      </c>
      <c r="Z409">
        <f t="shared" si="49"/>
        <v>359</v>
      </c>
      <c r="AA409">
        <f t="shared" si="50"/>
        <v>0</v>
      </c>
    </row>
    <row r="410" spans="1:27" x14ac:dyDescent="0.2">
      <c r="A410">
        <v>3</v>
      </c>
      <c r="B410" t="s">
        <v>129</v>
      </c>
      <c r="C410">
        <v>9</v>
      </c>
      <c r="D410" t="s">
        <v>147</v>
      </c>
      <c r="E410" t="s">
        <v>578</v>
      </c>
      <c r="F410">
        <v>1</v>
      </c>
      <c r="G410" t="s">
        <v>767</v>
      </c>
      <c r="H410" t="s">
        <v>770</v>
      </c>
      <c r="I410" t="s">
        <v>485</v>
      </c>
      <c r="O410">
        <v>1</v>
      </c>
      <c r="P410">
        <v>1</v>
      </c>
      <c r="Q410">
        <v>1</v>
      </c>
      <c r="T410">
        <v>2</v>
      </c>
      <c r="U410">
        <f t="shared" si="47"/>
        <v>4</v>
      </c>
      <c r="V410">
        <f t="shared" si="48"/>
        <v>5</v>
      </c>
      <c r="W410" s="4">
        <f t="shared" si="45"/>
        <v>1.25</v>
      </c>
      <c r="X410" s="4">
        <f t="shared" si="46"/>
        <v>62.5</v>
      </c>
      <c r="Z410">
        <f t="shared" si="49"/>
        <v>491</v>
      </c>
      <c r="AA410">
        <f t="shared" si="50"/>
        <v>0</v>
      </c>
    </row>
    <row r="411" spans="1:27" x14ac:dyDescent="0.2">
      <c r="A411">
        <v>1</v>
      </c>
      <c r="B411" t="s">
        <v>129</v>
      </c>
      <c r="C411">
        <v>9</v>
      </c>
      <c r="D411" t="s">
        <v>147</v>
      </c>
      <c r="E411" t="s">
        <v>578</v>
      </c>
      <c r="F411">
        <v>1</v>
      </c>
      <c r="G411" t="s">
        <v>771</v>
      </c>
      <c r="H411" t="s">
        <v>772</v>
      </c>
      <c r="I411" t="s">
        <v>485</v>
      </c>
      <c r="O411">
        <v>2</v>
      </c>
      <c r="P411">
        <v>2</v>
      </c>
      <c r="Q411">
        <v>2</v>
      </c>
      <c r="T411">
        <v>1</v>
      </c>
      <c r="U411">
        <f t="shared" si="47"/>
        <v>4</v>
      </c>
      <c r="V411">
        <f t="shared" si="48"/>
        <v>7</v>
      </c>
      <c r="W411" s="4">
        <f t="shared" si="45"/>
        <v>1.75</v>
      </c>
      <c r="X411" s="4">
        <f t="shared" si="46"/>
        <v>87.5</v>
      </c>
      <c r="Z411">
        <f t="shared" si="49"/>
        <v>753</v>
      </c>
      <c r="AA411">
        <f t="shared" si="50"/>
        <v>0</v>
      </c>
    </row>
    <row r="412" spans="1:27" x14ac:dyDescent="0.2">
      <c r="A412">
        <v>2</v>
      </c>
      <c r="B412" t="s">
        <v>129</v>
      </c>
      <c r="C412">
        <v>9</v>
      </c>
      <c r="D412" t="s">
        <v>147</v>
      </c>
      <c r="E412" t="s">
        <v>578</v>
      </c>
      <c r="F412">
        <v>1</v>
      </c>
      <c r="G412" t="s">
        <v>771</v>
      </c>
      <c r="H412" t="s">
        <v>773</v>
      </c>
      <c r="I412" t="s">
        <v>485</v>
      </c>
      <c r="O412">
        <v>1</v>
      </c>
      <c r="P412">
        <v>1</v>
      </c>
      <c r="Q412">
        <v>1</v>
      </c>
      <c r="T412">
        <v>2</v>
      </c>
      <c r="U412">
        <f t="shared" si="47"/>
        <v>4</v>
      </c>
      <c r="V412">
        <f t="shared" si="48"/>
        <v>5</v>
      </c>
      <c r="W412" s="4">
        <f t="shared" si="45"/>
        <v>1.25</v>
      </c>
      <c r="X412" s="4">
        <f t="shared" si="46"/>
        <v>62.5</v>
      </c>
      <c r="Z412">
        <f t="shared" si="49"/>
        <v>448</v>
      </c>
      <c r="AA412">
        <f t="shared" si="50"/>
        <v>0</v>
      </c>
    </row>
    <row r="413" spans="1:27" x14ac:dyDescent="0.2">
      <c r="A413">
        <v>3</v>
      </c>
      <c r="B413" t="s">
        <v>129</v>
      </c>
      <c r="C413">
        <v>9</v>
      </c>
      <c r="D413" t="s">
        <v>147</v>
      </c>
      <c r="E413" t="s">
        <v>578</v>
      </c>
      <c r="F413">
        <v>1</v>
      </c>
      <c r="G413" t="s">
        <v>771</v>
      </c>
      <c r="H413" t="s">
        <v>774</v>
      </c>
      <c r="I413" t="s">
        <v>485</v>
      </c>
      <c r="O413">
        <v>1</v>
      </c>
      <c r="P413">
        <v>1</v>
      </c>
      <c r="Q413">
        <v>1</v>
      </c>
      <c r="T413">
        <v>2</v>
      </c>
      <c r="U413">
        <f t="shared" si="47"/>
        <v>4</v>
      </c>
      <c r="V413">
        <f t="shared" si="48"/>
        <v>5</v>
      </c>
      <c r="W413" s="4">
        <f t="shared" si="45"/>
        <v>1.25</v>
      </c>
      <c r="X413" s="4">
        <f t="shared" si="46"/>
        <v>62.5</v>
      </c>
      <c r="Z413">
        <f t="shared" si="49"/>
        <v>508</v>
      </c>
      <c r="AA413">
        <f t="shared" si="50"/>
        <v>0</v>
      </c>
    </row>
    <row r="414" spans="1:27" x14ac:dyDescent="0.2">
      <c r="A414">
        <v>1</v>
      </c>
      <c r="B414" t="s">
        <v>129</v>
      </c>
      <c r="C414">
        <v>9</v>
      </c>
      <c r="D414" t="s">
        <v>147</v>
      </c>
      <c r="E414" t="s">
        <v>578</v>
      </c>
      <c r="F414">
        <v>1</v>
      </c>
      <c r="G414" t="s">
        <v>775</v>
      </c>
      <c r="H414" t="s">
        <v>776</v>
      </c>
      <c r="I414" t="s">
        <v>485</v>
      </c>
      <c r="O414">
        <v>1</v>
      </c>
      <c r="P414">
        <v>1</v>
      </c>
      <c r="Q414">
        <v>1</v>
      </c>
      <c r="T414">
        <v>1</v>
      </c>
      <c r="U414">
        <f t="shared" si="47"/>
        <v>4</v>
      </c>
      <c r="V414">
        <f t="shared" si="48"/>
        <v>4</v>
      </c>
      <c r="W414" s="4">
        <f t="shared" si="45"/>
        <v>1</v>
      </c>
      <c r="X414" s="4">
        <f t="shared" si="46"/>
        <v>50</v>
      </c>
      <c r="Y414" t="s">
        <v>617</v>
      </c>
      <c r="Z414">
        <f t="shared" si="49"/>
        <v>172</v>
      </c>
      <c r="AA414">
        <f t="shared" si="50"/>
        <v>0</v>
      </c>
    </row>
    <row r="415" spans="1:27" x14ac:dyDescent="0.2">
      <c r="A415">
        <v>2</v>
      </c>
      <c r="B415" t="s">
        <v>129</v>
      </c>
      <c r="C415">
        <v>9</v>
      </c>
      <c r="D415" t="s">
        <v>147</v>
      </c>
      <c r="E415" t="s">
        <v>578</v>
      </c>
      <c r="F415">
        <v>1</v>
      </c>
      <c r="G415" t="s">
        <v>775</v>
      </c>
      <c r="H415" t="s">
        <v>232</v>
      </c>
      <c r="I415" t="s">
        <v>485</v>
      </c>
      <c r="O415">
        <v>0</v>
      </c>
      <c r="P415">
        <v>0</v>
      </c>
      <c r="Q415">
        <v>0</v>
      </c>
      <c r="T415">
        <v>0</v>
      </c>
      <c r="U415">
        <f t="shared" si="47"/>
        <v>4</v>
      </c>
      <c r="V415">
        <f t="shared" si="48"/>
        <v>0</v>
      </c>
      <c r="W415" s="4">
        <f t="shared" si="45"/>
        <v>0</v>
      </c>
      <c r="X415" s="4">
        <f t="shared" si="46"/>
        <v>0</v>
      </c>
      <c r="Z415">
        <f t="shared" si="49"/>
        <v>24</v>
      </c>
      <c r="AA415">
        <f t="shared" si="50"/>
        <v>1</v>
      </c>
    </row>
    <row r="416" spans="1:27" x14ac:dyDescent="0.2">
      <c r="A416">
        <v>3</v>
      </c>
      <c r="B416" t="s">
        <v>129</v>
      </c>
      <c r="C416">
        <v>9</v>
      </c>
      <c r="D416" t="s">
        <v>147</v>
      </c>
      <c r="E416" t="s">
        <v>578</v>
      </c>
      <c r="F416">
        <v>1</v>
      </c>
      <c r="G416" t="s">
        <v>775</v>
      </c>
      <c r="H416" t="s">
        <v>777</v>
      </c>
      <c r="I416" t="s">
        <v>485</v>
      </c>
      <c r="O416">
        <v>2</v>
      </c>
      <c r="P416">
        <v>2</v>
      </c>
      <c r="Q416">
        <v>2</v>
      </c>
      <c r="T416">
        <v>2</v>
      </c>
      <c r="U416">
        <f t="shared" si="47"/>
        <v>4</v>
      </c>
      <c r="V416">
        <f t="shared" si="48"/>
        <v>8</v>
      </c>
      <c r="W416" s="4">
        <f t="shared" si="45"/>
        <v>2</v>
      </c>
      <c r="X416" s="4">
        <f t="shared" si="46"/>
        <v>100</v>
      </c>
      <c r="Y416" t="s">
        <v>766</v>
      </c>
      <c r="Z416">
        <f t="shared" si="49"/>
        <v>862</v>
      </c>
      <c r="AA416">
        <f t="shared" si="50"/>
        <v>0</v>
      </c>
    </row>
    <row r="417" spans="1:27" x14ac:dyDescent="0.2">
      <c r="A417">
        <v>1</v>
      </c>
      <c r="B417" t="s">
        <v>129</v>
      </c>
      <c r="C417">
        <v>9</v>
      </c>
      <c r="D417" t="s">
        <v>147</v>
      </c>
      <c r="E417" t="s">
        <v>578</v>
      </c>
      <c r="F417">
        <v>1</v>
      </c>
      <c r="G417" t="s">
        <v>778</v>
      </c>
      <c r="H417" t="s">
        <v>779</v>
      </c>
      <c r="I417" t="s">
        <v>485</v>
      </c>
      <c r="O417">
        <v>1</v>
      </c>
      <c r="P417">
        <v>1</v>
      </c>
      <c r="Q417">
        <v>1</v>
      </c>
      <c r="T417">
        <v>2</v>
      </c>
      <c r="U417">
        <f t="shared" si="47"/>
        <v>4</v>
      </c>
      <c r="V417">
        <f t="shared" si="48"/>
        <v>5</v>
      </c>
      <c r="W417" s="4">
        <f t="shared" si="45"/>
        <v>1.25</v>
      </c>
      <c r="X417" s="4">
        <f t="shared" si="46"/>
        <v>62.5</v>
      </c>
      <c r="Y417" t="s">
        <v>595</v>
      </c>
      <c r="Z417">
        <f t="shared" si="49"/>
        <v>468</v>
      </c>
      <c r="AA417">
        <f t="shared" si="50"/>
        <v>0</v>
      </c>
    </row>
    <row r="418" spans="1:27" x14ac:dyDescent="0.2">
      <c r="A418">
        <v>2</v>
      </c>
      <c r="B418" t="s">
        <v>129</v>
      </c>
      <c r="C418">
        <v>9</v>
      </c>
      <c r="D418" t="s">
        <v>147</v>
      </c>
      <c r="E418" t="s">
        <v>578</v>
      </c>
      <c r="F418">
        <v>1</v>
      </c>
      <c r="G418" t="s">
        <v>778</v>
      </c>
      <c r="H418" t="s">
        <v>780</v>
      </c>
      <c r="I418" t="s">
        <v>485</v>
      </c>
      <c r="O418">
        <v>1</v>
      </c>
      <c r="P418">
        <v>1</v>
      </c>
      <c r="Q418">
        <v>1</v>
      </c>
      <c r="T418">
        <v>2</v>
      </c>
      <c r="U418">
        <f t="shared" si="47"/>
        <v>4</v>
      </c>
      <c r="V418">
        <f t="shared" si="48"/>
        <v>5</v>
      </c>
      <c r="W418" s="4">
        <f t="shared" si="45"/>
        <v>1.25</v>
      </c>
      <c r="X418" s="4">
        <f t="shared" si="46"/>
        <v>62.5</v>
      </c>
      <c r="Y418" t="s">
        <v>595</v>
      </c>
      <c r="Z418">
        <f t="shared" si="49"/>
        <v>386</v>
      </c>
      <c r="AA418">
        <f t="shared" si="50"/>
        <v>0</v>
      </c>
    </row>
    <row r="419" spans="1:27" x14ac:dyDescent="0.2">
      <c r="A419">
        <v>3</v>
      </c>
      <c r="B419" t="s">
        <v>129</v>
      </c>
      <c r="C419">
        <v>9</v>
      </c>
      <c r="D419" t="s">
        <v>147</v>
      </c>
      <c r="E419" t="s">
        <v>578</v>
      </c>
      <c r="F419">
        <v>1</v>
      </c>
      <c r="G419" t="s">
        <v>778</v>
      </c>
      <c r="H419" t="s">
        <v>781</v>
      </c>
      <c r="I419" t="s">
        <v>485</v>
      </c>
      <c r="O419">
        <v>1</v>
      </c>
      <c r="P419">
        <v>1</v>
      </c>
      <c r="Q419">
        <v>1</v>
      </c>
      <c r="T419">
        <v>2</v>
      </c>
      <c r="U419">
        <f t="shared" si="47"/>
        <v>4</v>
      </c>
      <c r="V419">
        <f t="shared" si="48"/>
        <v>5</v>
      </c>
      <c r="W419" s="4">
        <f t="shared" si="45"/>
        <v>1.25</v>
      </c>
      <c r="X419" s="4">
        <f t="shared" si="46"/>
        <v>62.5</v>
      </c>
      <c r="Y419" t="s">
        <v>595</v>
      </c>
      <c r="Z419">
        <f t="shared" si="49"/>
        <v>434</v>
      </c>
      <c r="AA419">
        <f t="shared" si="50"/>
        <v>0</v>
      </c>
    </row>
    <row r="420" spans="1:27" x14ac:dyDescent="0.2">
      <c r="A420">
        <v>1</v>
      </c>
      <c r="B420" t="s">
        <v>129</v>
      </c>
      <c r="C420">
        <v>9</v>
      </c>
      <c r="D420" t="s">
        <v>147</v>
      </c>
      <c r="E420" t="s">
        <v>578</v>
      </c>
      <c r="F420">
        <v>1</v>
      </c>
      <c r="G420" t="s">
        <v>782</v>
      </c>
      <c r="H420" t="s">
        <v>783</v>
      </c>
      <c r="I420" t="s">
        <v>485</v>
      </c>
      <c r="O420">
        <v>2</v>
      </c>
      <c r="P420">
        <v>2</v>
      </c>
      <c r="Q420">
        <v>2</v>
      </c>
      <c r="T420">
        <v>2</v>
      </c>
      <c r="U420">
        <f t="shared" si="47"/>
        <v>4</v>
      </c>
      <c r="V420">
        <f t="shared" si="48"/>
        <v>8</v>
      </c>
      <c r="W420" s="4">
        <f t="shared" si="45"/>
        <v>2</v>
      </c>
      <c r="X420" s="4">
        <f t="shared" si="46"/>
        <v>100</v>
      </c>
      <c r="Y420" t="s">
        <v>723</v>
      </c>
      <c r="Z420">
        <f t="shared" si="49"/>
        <v>775</v>
      </c>
      <c r="AA420">
        <f t="shared" si="50"/>
        <v>0</v>
      </c>
    </row>
    <row r="421" spans="1:27" x14ac:dyDescent="0.2">
      <c r="A421">
        <v>2</v>
      </c>
      <c r="B421" t="s">
        <v>129</v>
      </c>
      <c r="C421">
        <v>9</v>
      </c>
      <c r="D421" t="s">
        <v>147</v>
      </c>
      <c r="E421" t="s">
        <v>578</v>
      </c>
      <c r="F421">
        <v>1</v>
      </c>
      <c r="G421" t="s">
        <v>782</v>
      </c>
      <c r="H421" t="s">
        <v>784</v>
      </c>
      <c r="I421" t="s">
        <v>485</v>
      </c>
      <c r="O421">
        <v>1</v>
      </c>
      <c r="P421">
        <v>1</v>
      </c>
      <c r="Q421">
        <v>1</v>
      </c>
      <c r="T421">
        <v>1</v>
      </c>
      <c r="U421">
        <f t="shared" si="47"/>
        <v>4</v>
      </c>
      <c r="V421">
        <f t="shared" si="48"/>
        <v>4</v>
      </c>
      <c r="W421" s="4">
        <f t="shared" si="45"/>
        <v>1</v>
      </c>
      <c r="X421" s="4">
        <f t="shared" si="46"/>
        <v>50</v>
      </c>
      <c r="Z421">
        <f t="shared" si="49"/>
        <v>368</v>
      </c>
      <c r="AA421">
        <f t="shared" si="50"/>
        <v>0</v>
      </c>
    </row>
    <row r="422" spans="1:27" x14ac:dyDescent="0.2">
      <c r="A422">
        <v>3</v>
      </c>
      <c r="B422" t="s">
        <v>129</v>
      </c>
      <c r="C422">
        <v>9</v>
      </c>
      <c r="D422" t="s">
        <v>147</v>
      </c>
      <c r="E422" t="s">
        <v>578</v>
      </c>
      <c r="F422">
        <v>1</v>
      </c>
      <c r="G422" t="s">
        <v>782</v>
      </c>
      <c r="H422" t="s">
        <v>785</v>
      </c>
      <c r="I422" t="s">
        <v>485</v>
      </c>
      <c r="O422">
        <v>1</v>
      </c>
      <c r="P422">
        <v>1</v>
      </c>
      <c r="Q422">
        <v>1</v>
      </c>
      <c r="T422">
        <v>1</v>
      </c>
      <c r="U422">
        <f t="shared" si="47"/>
        <v>4</v>
      </c>
      <c r="V422">
        <f t="shared" si="48"/>
        <v>4</v>
      </c>
      <c r="W422" s="4">
        <f t="shared" si="45"/>
        <v>1</v>
      </c>
      <c r="X422" s="4">
        <f t="shared" si="46"/>
        <v>50</v>
      </c>
      <c r="Z422">
        <f t="shared" si="49"/>
        <v>441</v>
      </c>
      <c r="AA422">
        <f t="shared" si="50"/>
        <v>0</v>
      </c>
    </row>
    <row r="423" spans="1:27" x14ac:dyDescent="0.2">
      <c r="A423">
        <v>1</v>
      </c>
      <c r="B423" t="s">
        <v>129</v>
      </c>
      <c r="C423">
        <v>9</v>
      </c>
      <c r="D423" t="s">
        <v>147</v>
      </c>
      <c r="E423" t="s">
        <v>578</v>
      </c>
      <c r="F423">
        <v>1</v>
      </c>
      <c r="G423" t="s">
        <v>786</v>
      </c>
      <c r="H423" t="s">
        <v>787</v>
      </c>
      <c r="I423" t="s">
        <v>485</v>
      </c>
      <c r="O423">
        <v>2</v>
      </c>
      <c r="P423">
        <v>2</v>
      </c>
      <c r="Q423">
        <v>2</v>
      </c>
      <c r="T423">
        <v>2</v>
      </c>
      <c r="U423">
        <f t="shared" si="47"/>
        <v>4</v>
      </c>
      <c r="V423">
        <f t="shared" si="48"/>
        <v>8</v>
      </c>
      <c r="W423" s="4">
        <f t="shared" si="45"/>
        <v>2</v>
      </c>
      <c r="X423" s="4">
        <f t="shared" si="46"/>
        <v>100</v>
      </c>
      <c r="Y423" t="s">
        <v>723</v>
      </c>
      <c r="Z423">
        <f t="shared" si="49"/>
        <v>689</v>
      </c>
      <c r="AA423">
        <f t="shared" si="50"/>
        <v>0</v>
      </c>
    </row>
    <row r="424" spans="1:27" x14ac:dyDescent="0.2">
      <c r="A424">
        <v>2</v>
      </c>
      <c r="B424" t="s">
        <v>129</v>
      </c>
      <c r="C424">
        <v>9</v>
      </c>
      <c r="D424" t="s">
        <v>147</v>
      </c>
      <c r="E424" t="s">
        <v>578</v>
      </c>
      <c r="F424">
        <v>1</v>
      </c>
      <c r="G424" t="s">
        <v>786</v>
      </c>
      <c r="H424" t="s">
        <v>788</v>
      </c>
      <c r="I424" t="s">
        <v>485</v>
      </c>
      <c r="O424">
        <v>1</v>
      </c>
      <c r="P424">
        <v>1</v>
      </c>
      <c r="Q424">
        <v>1</v>
      </c>
      <c r="T424">
        <v>1</v>
      </c>
      <c r="U424">
        <f t="shared" si="47"/>
        <v>4</v>
      </c>
      <c r="V424">
        <f t="shared" si="48"/>
        <v>4</v>
      </c>
      <c r="W424" s="4">
        <f t="shared" si="45"/>
        <v>1</v>
      </c>
      <c r="X424" s="4">
        <f t="shared" si="46"/>
        <v>50</v>
      </c>
      <c r="Z424">
        <f t="shared" si="49"/>
        <v>472</v>
      </c>
      <c r="AA424">
        <f t="shared" si="50"/>
        <v>0</v>
      </c>
    </row>
    <row r="425" spans="1:27" x14ac:dyDescent="0.2">
      <c r="A425">
        <v>3</v>
      </c>
      <c r="B425" t="s">
        <v>129</v>
      </c>
      <c r="C425">
        <v>9</v>
      </c>
      <c r="D425" t="s">
        <v>147</v>
      </c>
      <c r="E425" t="s">
        <v>578</v>
      </c>
      <c r="F425">
        <v>1</v>
      </c>
      <c r="G425" t="s">
        <v>786</v>
      </c>
      <c r="H425" t="s">
        <v>789</v>
      </c>
      <c r="I425" t="s">
        <v>485</v>
      </c>
      <c r="O425">
        <v>1</v>
      </c>
      <c r="P425">
        <v>1</v>
      </c>
      <c r="Q425">
        <v>1</v>
      </c>
      <c r="T425">
        <v>1</v>
      </c>
      <c r="U425">
        <f t="shared" si="47"/>
        <v>4</v>
      </c>
      <c r="V425">
        <f t="shared" si="48"/>
        <v>4</v>
      </c>
      <c r="W425" s="4">
        <f t="shared" si="45"/>
        <v>1</v>
      </c>
      <c r="X425" s="4">
        <f t="shared" si="46"/>
        <v>50</v>
      </c>
      <c r="Z425">
        <f t="shared" si="49"/>
        <v>423</v>
      </c>
      <c r="AA425">
        <f t="shared" si="50"/>
        <v>0</v>
      </c>
    </row>
    <row r="426" spans="1:27" x14ac:dyDescent="0.2">
      <c r="A426">
        <v>1</v>
      </c>
      <c r="B426" t="s">
        <v>129</v>
      </c>
      <c r="C426">
        <v>9</v>
      </c>
      <c r="D426" t="s">
        <v>147</v>
      </c>
      <c r="E426" t="s">
        <v>578</v>
      </c>
      <c r="F426">
        <v>1</v>
      </c>
      <c r="G426" t="s">
        <v>790</v>
      </c>
      <c r="H426" t="s">
        <v>791</v>
      </c>
      <c r="I426" t="s">
        <v>485</v>
      </c>
      <c r="O426">
        <v>0</v>
      </c>
      <c r="P426">
        <v>0</v>
      </c>
      <c r="Q426">
        <v>0</v>
      </c>
      <c r="T426">
        <v>1</v>
      </c>
      <c r="U426">
        <f t="shared" si="47"/>
        <v>4</v>
      </c>
      <c r="V426">
        <f t="shared" si="48"/>
        <v>1</v>
      </c>
      <c r="W426" s="4">
        <f t="shared" si="45"/>
        <v>0.25</v>
      </c>
      <c r="X426" s="4">
        <f t="shared" si="46"/>
        <v>12.5</v>
      </c>
      <c r="Y426" t="s">
        <v>617</v>
      </c>
      <c r="Z426">
        <f t="shared" si="49"/>
        <v>197</v>
      </c>
      <c r="AA426">
        <f t="shared" si="50"/>
        <v>1</v>
      </c>
    </row>
    <row r="427" spans="1:27" x14ac:dyDescent="0.2">
      <c r="A427">
        <v>2</v>
      </c>
      <c r="B427" t="s">
        <v>129</v>
      </c>
      <c r="C427">
        <v>9</v>
      </c>
      <c r="D427" t="s">
        <v>147</v>
      </c>
      <c r="E427" t="s">
        <v>578</v>
      </c>
      <c r="F427">
        <v>1</v>
      </c>
      <c r="G427" t="s">
        <v>790</v>
      </c>
      <c r="H427" t="s">
        <v>792</v>
      </c>
      <c r="I427" t="s">
        <v>485</v>
      </c>
      <c r="O427">
        <v>1</v>
      </c>
      <c r="P427">
        <v>1</v>
      </c>
      <c r="Q427">
        <v>1</v>
      </c>
      <c r="T427">
        <v>2</v>
      </c>
      <c r="U427">
        <f t="shared" si="47"/>
        <v>4</v>
      </c>
      <c r="V427">
        <f t="shared" si="48"/>
        <v>5</v>
      </c>
      <c r="W427" s="4">
        <f t="shared" si="45"/>
        <v>1.25</v>
      </c>
      <c r="X427" s="4">
        <f t="shared" si="46"/>
        <v>62.5</v>
      </c>
      <c r="Z427">
        <f t="shared" si="49"/>
        <v>422</v>
      </c>
      <c r="AA427">
        <f t="shared" si="50"/>
        <v>0</v>
      </c>
    </row>
    <row r="428" spans="1:27" x14ac:dyDescent="0.2">
      <c r="A428">
        <v>3</v>
      </c>
      <c r="B428" t="s">
        <v>129</v>
      </c>
      <c r="C428">
        <v>9</v>
      </c>
      <c r="D428" t="s">
        <v>147</v>
      </c>
      <c r="E428" t="s">
        <v>578</v>
      </c>
      <c r="F428">
        <v>1</v>
      </c>
      <c r="G428" t="s">
        <v>790</v>
      </c>
      <c r="H428" t="s">
        <v>793</v>
      </c>
      <c r="I428" t="s">
        <v>485</v>
      </c>
      <c r="O428">
        <v>1</v>
      </c>
      <c r="P428">
        <v>1</v>
      </c>
      <c r="Q428">
        <v>1</v>
      </c>
      <c r="T428">
        <v>2</v>
      </c>
      <c r="U428">
        <f t="shared" si="47"/>
        <v>4</v>
      </c>
      <c r="V428">
        <f t="shared" si="48"/>
        <v>5</v>
      </c>
      <c r="W428" s="4">
        <f t="shared" si="45"/>
        <v>1.25</v>
      </c>
      <c r="X428" s="4">
        <f t="shared" si="46"/>
        <v>62.5</v>
      </c>
      <c r="Z428">
        <f t="shared" si="49"/>
        <v>525</v>
      </c>
      <c r="AA428">
        <f t="shared" si="50"/>
        <v>0</v>
      </c>
    </row>
    <row r="429" spans="1:27" x14ac:dyDescent="0.2">
      <c r="A429">
        <v>1</v>
      </c>
      <c r="B429" t="s">
        <v>129</v>
      </c>
      <c r="C429">
        <v>9</v>
      </c>
      <c r="D429" t="s">
        <v>147</v>
      </c>
      <c r="E429" t="s">
        <v>578</v>
      </c>
      <c r="F429">
        <v>1</v>
      </c>
      <c r="G429" t="s">
        <v>794</v>
      </c>
      <c r="H429" t="s">
        <v>795</v>
      </c>
      <c r="I429" t="s">
        <v>485</v>
      </c>
      <c r="O429">
        <v>2</v>
      </c>
      <c r="P429">
        <v>2</v>
      </c>
      <c r="Q429">
        <v>2</v>
      </c>
      <c r="T429">
        <v>2</v>
      </c>
      <c r="U429">
        <f t="shared" si="47"/>
        <v>4</v>
      </c>
      <c r="V429">
        <f t="shared" si="48"/>
        <v>8</v>
      </c>
      <c r="W429" s="4">
        <f t="shared" si="45"/>
        <v>2</v>
      </c>
      <c r="X429" s="4">
        <f t="shared" si="46"/>
        <v>100</v>
      </c>
      <c r="Y429" t="s">
        <v>723</v>
      </c>
      <c r="Z429">
        <f t="shared" si="49"/>
        <v>717</v>
      </c>
      <c r="AA429">
        <f>IF(X429&lt;50,1,0)</f>
        <v>0</v>
      </c>
    </row>
    <row r="430" spans="1:27" x14ac:dyDescent="0.2">
      <c r="A430">
        <v>2</v>
      </c>
      <c r="B430" t="s">
        <v>129</v>
      </c>
      <c r="C430">
        <v>9</v>
      </c>
      <c r="D430" t="s">
        <v>147</v>
      </c>
      <c r="E430" t="s">
        <v>578</v>
      </c>
      <c r="F430">
        <v>1</v>
      </c>
      <c r="G430" t="s">
        <v>794</v>
      </c>
      <c r="H430" t="s">
        <v>796</v>
      </c>
      <c r="I430" t="s">
        <v>485</v>
      </c>
      <c r="O430">
        <v>1</v>
      </c>
      <c r="P430">
        <v>1</v>
      </c>
      <c r="Q430">
        <v>1</v>
      </c>
      <c r="T430">
        <v>1</v>
      </c>
      <c r="U430">
        <f t="shared" si="47"/>
        <v>4</v>
      </c>
      <c r="V430">
        <f t="shared" si="48"/>
        <v>4</v>
      </c>
      <c r="W430" s="4">
        <f t="shared" si="45"/>
        <v>1</v>
      </c>
      <c r="X430" s="4">
        <f t="shared" si="46"/>
        <v>50</v>
      </c>
      <c r="Z430">
        <f t="shared" si="49"/>
        <v>338</v>
      </c>
      <c r="AA430">
        <f t="shared" ref="AA430:AA459" si="51">IF(X430&lt;50,1,0)</f>
        <v>0</v>
      </c>
    </row>
    <row r="431" spans="1:27" x14ac:dyDescent="0.2">
      <c r="A431">
        <v>3</v>
      </c>
      <c r="B431" t="s">
        <v>129</v>
      </c>
      <c r="C431">
        <v>9</v>
      </c>
      <c r="D431" t="s">
        <v>147</v>
      </c>
      <c r="E431" t="s">
        <v>578</v>
      </c>
      <c r="F431">
        <v>1</v>
      </c>
      <c r="G431" t="s">
        <v>794</v>
      </c>
      <c r="H431" t="s">
        <v>797</v>
      </c>
      <c r="I431" t="s">
        <v>485</v>
      </c>
      <c r="O431">
        <v>1</v>
      </c>
      <c r="P431">
        <v>1</v>
      </c>
      <c r="Q431">
        <v>1</v>
      </c>
      <c r="T431">
        <v>1</v>
      </c>
      <c r="U431">
        <f t="shared" si="47"/>
        <v>4</v>
      </c>
      <c r="V431">
        <f t="shared" si="48"/>
        <v>4</v>
      </c>
      <c r="W431" s="4">
        <f t="shared" si="45"/>
        <v>1</v>
      </c>
      <c r="X431" s="4">
        <f t="shared" si="46"/>
        <v>50</v>
      </c>
      <c r="Z431">
        <f t="shared" si="49"/>
        <v>458</v>
      </c>
      <c r="AA431">
        <f t="shared" si="51"/>
        <v>0</v>
      </c>
    </row>
    <row r="432" spans="1:27" x14ac:dyDescent="0.2">
      <c r="A432">
        <v>1</v>
      </c>
      <c r="B432" t="s">
        <v>129</v>
      </c>
      <c r="C432">
        <v>9</v>
      </c>
      <c r="D432" t="s">
        <v>147</v>
      </c>
      <c r="E432" t="s">
        <v>578</v>
      </c>
      <c r="F432">
        <v>1</v>
      </c>
      <c r="G432" t="s">
        <v>798</v>
      </c>
      <c r="H432" t="s">
        <v>799</v>
      </c>
      <c r="I432" t="s">
        <v>485</v>
      </c>
      <c r="O432">
        <v>2</v>
      </c>
      <c r="P432">
        <v>2</v>
      </c>
      <c r="Q432">
        <v>2</v>
      </c>
      <c r="T432">
        <v>2</v>
      </c>
      <c r="U432">
        <f t="shared" si="47"/>
        <v>4</v>
      </c>
      <c r="V432">
        <f t="shared" si="48"/>
        <v>8</v>
      </c>
      <c r="W432" s="4">
        <f t="shared" si="45"/>
        <v>2</v>
      </c>
      <c r="X432" s="4">
        <f t="shared" si="46"/>
        <v>100</v>
      </c>
      <c r="Y432" t="s">
        <v>723</v>
      </c>
      <c r="Z432">
        <f t="shared" si="49"/>
        <v>795</v>
      </c>
      <c r="AA432">
        <f t="shared" si="51"/>
        <v>0</v>
      </c>
    </row>
    <row r="433" spans="1:27" x14ac:dyDescent="0.2">
      <c r="A433">
        <v>2</v>
      </c>
      <c r="B433" t="s">
        <v>129</v>
      </c>
      <c r="C433">
        <v>9</v>
      </c>
      <c r="D433" t="s">
        <v>147</v>
      </c>
      <c r="E433" t="s">
        <v>578</v>
      </c>
      <c r="F433">
        <v>1</v>
      </c>
      <c r="G433" t="s">
        <v>798</v>
      </c>
      <c r="H433" t="s">
        <v>800</v>
      </c>
      <c r="I433" t="s">
        <v>485</v>
      </c>
      <c r="O433">
        <v>1</v>
      </c>
      <c r="P433">
        <v>1</v>
      </c>
      <c r="Q433">
        <v>1</v>
      </c>
      <c r="T433">
        <v>1</v>
      </c>
      <c r="U433">
        <f t="shared" si="47"/>
        <v>4</v>
      </c>
      <c r="V433">
        <f t="shared" si="48"/>
        <v>4</v>
      </c>
      <c r="W433" s="4">
        <f t="shared" si="45"/>
        <v>1</v>
      </c>
      <c r="X433" s="4">
        <f t="shared" si="46"/>
        <v>50</v>
      </c>
      <c r="Z433">
        <f t="shared" si="49"/>
        <v>421</v>
      </c>
      <c r="AA433">
        <f t="shared" si="51"/>
        <v>0</v>
      </c>
    </row>
    <row r="434" spans="1:27" x14ac:dyDescent="0.2">
      <c r="A434">
        <v>3</v>
      </c>
      <c r="B434" t="s">
        <v>129</v>
      </c>
      <c r="C434">
        <v>9</v>
      </c>
      <c r="D434" t="s">
        <v>147</v>
      </c>
      <c r="E434" t="s">
        <v>578</v>
      </c>
      <c r="F434">
        <v>1</v>
      </c>
      <c r="G434" t="s">
        <v>798</v>
      </c>
      <c r="H434" t="s">
        <v>801</v>
      </c>
      <c r="I434" t="s">
        <v>485</v>
      </c>
      <c r="O434">
        <v>1</v>
      </c>
      <c r="P434">
        <v>1</v>
      </c>
      <c r="Q434">
        <v>1</v>
      </c>
      <c r="T434">
        <v>1</v>
      </c>
      <c r="U434">
        <f t="shared" si="47"/>
        <v>4</v>
      </c>
      <c r="V434">
        <f t="shared" si="48"/>
        <v>4</v>
      </c>
      <c r="W434" s="4">
        <f t="shared" si="45"/>
        <v>1</v>
      </c>
      <c r="X434" s="4">
        <f t="shared" si="46"/>
        <v>50</v>
      </c>
      <c r="Z434">
        <f t="shared" si="49"/>
        <v>407</v>
      </c>
      <c r="AA434">
        <f t="shared" si="51"/>
        <v>0</v>
      </c>
    </row>
    <row r="435" spans="1:27" x14ac:dyDescent="0.2">
      <c r="A435">
        <v>1</v>
      </c>
      <c r="B435" t="s">
        <v>129</v>
      </c>
      <c r="C435">
        <v>9</v>
      </c>
      <c r="D435" t="s">
        <v>147</v>
      </c>
      <c r="E435" t="s">
        <v>578</v>
      </c>
      <c r="F435">
        <v>1</v>
      </c>
      <c r="G435" t="s">
        <v>802</v>
      </c>
      <c r="H435" t="s">
        <v>803</v>
      </c>
      <c r="I435" t="s">
        <v>485</v>
      </c>
      <c r="O435">
        <v>1</v>
      </c>
      <c r="P435">
        <v>1</v>
      </c>
      <c r="Q435">
        <v>1</v>
      </c>
      <c r="T435">
        <v>1</v>
      </c>
      <c r="U435">
        <f t="shared" si="47"/>
        <v>4</v>
      </c>
      <c r="V435">
        <f t="shared" si="48"/>
        <v>4</v>
      </c>
      <c r="W435" s="4">
        <f t="shared" si="45"/>
        <v>1</v>
      </c>
      <c r="X435" s="4">
        <f t="shared" si="46"/>
        <v>50</v>
      </c>
      <c r="Y435" t="s">
        <v>617</v>
      </c>
      <c r="Z435">
        <f t="shared" si="49"/>
        <v>198</v>
      </c>
      <c r="AA435">
        <f t="shared" si="51"/>
        <v>0</v>
      </c>
    </row>
    <row r="436" spans="1:27" x14ac:dyDescent="0.2">
      <c r="A436">
        <v>2</v>
      </c>
      <c r="B436" t="s">
        <v>129</v>
      </c>
      <c r="C436">
        <v>9</v>
      </c>
      <c r="D436" t="s">
        <v>147</v>
      </c>
      <c r="E436" t="s">
        <v>578</v>
      </c>
      <c r="F436">
        <v>1</v>
      </c>
      <c r="G436" t="s">
        <v>802</v>
      </c>
      <c r="H436" t="s">
        <v>232</v>
      </c>
      <c r="I436" t="s">
        <v>485</v>
      </c>
      <c r="O436">
        <v>0</v>
      </c>
      <c r="P436">
        <v>0</v>
      </c>
      <c r="Q436">
        <v>0</v>
      </c>
      <c r="T436">
        <v>0</v>
      </c>
      <c r="U436">
        <f t="shared" si="47"/>
        <v>4</v>
      </c>
      <c r="V436">
        <f t="shared" si="48"/>
        <v>0</v>
      </c>
      <c r="W436" s="4">
        <f t="shared" si="45"/>
        <v>0</v>
      </c>
      <c r="X436" s="4">
        <f t="shared" si="46"/>
        <v>0</v>
      </c>
      <c r="Z436">
        <f t="shared" si="49"/>
        <v>24</v>
      </c>
      <c r="AA436">
        <f t="shared" si="51"/>
        <v>1</v>
      </c>
    </row>
    <row r="437" spans="1:27" x14ac:dyDescent="0.2">
      <c r="A437">
        <v>3</v>
      </c>
      <c r="B437" t="s">
        <v>129</v>
      </c>
      <c r="C437">
        <v>9</v>
      </c>
      <c r="D437" t="s">
        <v>147</v>
      </c>
      <c r="E437" t="s">
        <v>578</v>
      </c>
      <c r="F437">
        <v>1</v>
      </c>
      <c r="G437" t="s">
        <v>802</v>
      </c>
      <c r="H437" t="s">
        <v>804</v>
      </c>
      <c r="I437" t="s">
        <v>485</v>
      </c>
      <c r="O437">
        <v>1</v>
      </c>
      <c r="P437">
        <v>1</v>
      </c>
      <c r="Q437">
        <v>1</v>
      </c>
      <c r="T437">
        <v>1</v>
      </c>
      <c r="U437">
        <f t="shared" si="47"/>
        <v>4</v>
      </c>
      <c r="V437">
        <f t="shared" si="48"/>
        <v>4</v>
      </c>
      <c r="W437" s="4">
        <f t="shared" si="45"/>
        <v>1</v>
      </c>
      <c r="X437" s="4">
        <f t="shared" si="46"/>
        <v>50</v>
      </c>
      <c r="Y437" t="s">
        <v>617</v>
      </c>
      <c r="Z437">
        <f t="shared" si="49"/>
        <v>285</v>
      </c>
      <c r="AA437">
        <f t="shared" si="51"/>
        <v>0</v>
      </c>
    </row>
    <row r="438" spans="1:27" x14ac:dyDescent="0.2">
      <c r="A438">
        <v>1</v>
      </c>
      <c r="B438" t="s">
        <v>129</v>
      </c>
      <c r="C438">
        <v>9</v>
      </c>
      <c r="D438" t="s">
        <v>147</v>
      </c>
      <c r="E438" t="s">
        <v>578</v>
      </c>
      <c r="F438">
        <v>1</v>
      </c>
      <c r="G438" t="s">
        <v>805</v>
      </c>
      <c r="H438" t="s">
        <v>806</v>
      </c>
      <c r="I438" t="s">
        <v>485</v>
      </c>
      <c r="O438">
        <v>2</v>
      </c>
      <c r="P438">
        <v>2</v>
      </c>
      <c r="Q438">
        <v>2</v>
      </c>
      <c r="T438">
        <v>2</v>
      </c>
      <c r="U438">
        <f t="shared" si="47"/>
        <v>4</v>
      </c>
      <c r="V438">
        <f t="shared" si="48"/>
        <v>8</v>
      </c>
      <c r="W438" s="4">
        <f t="shared" si="45"/>
        <v>2</v>
      </c>
      <c r="X438" s="4">
        <f t="shared" si="46"/>
        <v>100</v>
      </c>
      <c r="Y438" t="s">
        <v>723</v>
      </c>
      <c r="Z438">
        <f t="shared" si="49"/>
        <v>587</v>
      </c>
      <c r="AA438">
        <f t="shared" si="51"/>
        <v>0</v>
      </c>
    </row>
    <row r="439" spans="1:27" x14ac:dyDescent="0.2">
      <c r="A439">
        <v>2</v>
      </c>
      <c r="B439" t="s">
        <v>129</v>
      </c>
      <c r="C439">
        <v>9</v>
      </c>
      <c r="D439" t="s">
        <v>147</v>
      </c>
      <c r="E439" t="s">
        <v>578</v>
      </c>
      <c r="F439">
        <v>1</v>
      </c>
      <c r="G439" t="s">
        <v>805</v>
      </c>
      <c r="H439" t="s">
        <v>807</v>
      </c>
      <c r="I439" t="s">
        <v>485</v>
      </c>
      <c r="O439">
        <v>1</v>
      </c>
      <c r="P439">
        <v>1</v>
      </c>
      <c r="Q439">
        <v>1</v>
      </c>
      <c r="T439">
        <v>1</v>
      </c>
      <c r="U439">
        <f t="shared" si="47"/>
        <v>4</v>
      </c>
      <c r="V439">
        <f t="shared" si="48"/>
        <v>4</v>
      </c>
      <c r="W439" s="4">
        <f t="shared" si="45"/>
        <v>1</v>
      </c>
      <c r="X439" s="4">
        <f t="shared" si="46"/>
        <v>50</v>
      </c>
      <c r="Z439">
        <f t="shared" si="49"/>
        <v>444</v>
      </c>
      <c r="AA439">
        <f t="shared" si="51"/>
        <v>0</v>
      </c>
    </row>
    <row r="440" spans="1:27" x14ac:dyDescent="0.2">
      <c r="A440">
        <v>3</v>
      </c>
      <c r="B440" t="s">
        <v>129</v>
      </c>
      <c r="C440">
        <v>9</v>
      </c>
      <c r="D440" t="s">
        <v>147</v>
      </c>
      <c r="E440" t="s">
        <v>578</v>
      </c>
      <c r="F440">
        <v>1</v>
      </c>
      <c r="G440" t="s">
        <v>805</v>
      </c>
      <c r="H440" t="s">
        <v>808</v>
      </c>
      <c r="I440" t="s">
        <v>485</v>
      </c>
      <c r="O440">
        <v>1</v>
      </c>
      <c r="P440">
        <v>1</v>
      </c>
      <c r="Q440">
        <v>1</v>
      </c>
      <c r="T440">
        <v>1</v>
      </c>
      <c r="U440">
        <f t="shared" si="47"/>
        <v>4</v>
      </c>
      <c r="V440">
        <f t="shared" si="48"/>
        <v>4</v>
      </c>
      <c r="W440" s="4">
        <f t="shared" si="45"/>
        <v>1</v>
      </c>
      <c r="X440" s="4">
        <f t="shared" si="46"/>
        <v>50</v>
      </c>
      <c r="Z440">
        <f t="shared" si="49"/>
        <v>451</v>
      </c>
      <c r="AA440">
        <f t="shared" si="51"/>
        <v>0</v>
      </c>
    </row>
    <row r="441" spans="1:27" x14ac:dyDescent="0.2">
      <c r="A441">
        <v>1</v>
      </c>
      <c r="B441" t="s">
        <v>129</v>
      </c>
      <c r="C441">
        <v>9</v>
      </c>
      <c r="D441" t="s">
        <v>147</v>
      </c>
      <c r="E441" t="s">
        <v>578</v>
      </c>
      <c r="F441">
        <v>1</v>
      </c>
      <c r="G441" t="s">
        <v>809</v>
      </c>
      <c r="H441" t="s">
        <v>810</v>
      </c>
      <c r="I441" t="s">
        <v>485</v>
      </c>
      <c r="O441">
        <v>1</v>
      </c>
      <c r="P441">
        <v>1</v>
      </c>
      <c r="Q441">
        <v>1</v>
      </c>
      <c r="T441">
        <v>2</v>
      </c>
      <c r="U441">
        <f t="shared" si="47"/>
        <v>4</v>
      </c>
      <c r="V441">
        <f t="shared" si="48"/>
        <v>5</v>
      </c>
      <c r="W441" s="4">
        <f t="shared" si="45"/>
        <v>1.25</v>
      </c>
      <c r="X441" s="4">
        <f t="shared" si="46"/>
        <v>62.5</v>
      </c>
      <c r="Z441">
        <f t="shared" si="49"/>
        <v>485</v>
      </c>
      <c r="AA441">
        <f t="shared" si="51"/>
        <v>0</v>
      </c>
    </row>
    <row r="442" spans="1:27" x14ac:dyDescent="0.2">
      <c r="A442">
        <v>2</v>
      </c>
      <c r="B442" t="s">
        <v>129</v>
      </c>
      <c r="C442">
        <v>9</v>
      </c>
      <c r="D442" t="s">
        <v>147</v>
      </c>
      <c r="E442" t="s">
        <v>578</v>
      </c>
      <c r="F442">
        <v>1</v>
      </c>
      <c r="G442" t="s">
        <v>809</v>
      </c>
      <c r="H442" t="s">
        <v>811</v>
      </c>
      <c r="I442" t="s">
        <v>485</v>
      </c>
      <c r="O442">
        <v>1</v>
      </c>
      <c r="P442">
        <v>1</v>
      </c>
      <c r="Q442">
        <v>1</v>
      </c>
      <c r="T442">
        <v>2</v>
      </c>
      <c r="U442">
        <f t="shared" si="47"/>
        <v>4</v>
      </c>
      <c r="V442">
        <f t="shared" si="48"/>
        <v>5</v>
      </c>
      <c r="W442" s="4">
        <f t="shared" si="45"/>
        <v>1.25</v>
      </c>
      <c r="X442" s="4">
        <f t="shared" si="46"/>
        <v>62.5</v>
      </c>
      <c r="Z442">
        <f t="shared" si="49"/>
        <v>388</v>
      </c>
      <c r="AA442">
        <f t="shared" si="51"/>
        <v>0</v>
      </c>
    </row>
    <row r="443" spans="1:27" x14ac:dyDescent="0.2">
      <c r="A443">
        <v>3</v>
      </c>
      <c r="B443" t="s">
        <v>129</v>
      </c>
      <c r="C443">
        <v>9</v>
      </c>
      <c r="D443" t="s">
        <v>147</v>
      </c>
      <c r="E443" t="s">
        <v>578</v>
      </c>
      <c r="F443">
        <v>1</v>
      </c>
      <c r="G443" t="s">
        <v>809</v>
      </c>
      <c r="H443" t="s">
        <v>812</v>
      </c>
      <c r="I443" t="s">
        <v>485</v>
      </c>
      <c r="O443">
        <v>1</v>
      </c>
      <c r="P443">
        <v>1</v>
      </c>
      <c r="Q443">
        <v>1</v>
      </c>
      <c r="T443">
        <v>2</v>
      </c>
      <c r="U443">
        <f t="shared" si="47"/>
        <v>4</v>
      </c>
      <c r="V443">
        <f t="shared" si="48"/>
        <v>5</v>
      </c>
      <c r="W443" s="4">
        <f t="shared" si="45"/>
        <v>1.25</v>
      </c>
      <c r="X443" s="4">
        <f t="shared" si="46"/>
        <v>62.5</v>
      </c>
      <c r="Z443">
        <f t="shared" si="49"/>
        <v>465</v>
      </c>
      <c r="AA443">
        <f t="shared" si="51"/>
        <v>0</v>
      </c>
    </row>
    <row r="444" spans="1:27" x14ac:dyDescent="0.2">
      <c r="A444">
        <v>1</v>
      </c>
      <c r="B444" t="s">
        <v>129</v>
      </c>
      <c r="C444">
        <v>9</v>
      </c>
      <c r="D444" t="s">
        <v>147</v>
      </c>
      <c r="E444" t="s">
        <v>578</v>
      </c>
      <c r="F444">
        <v>1</v>
      </c>
      <c r="G444" t="s">
        <v>813</v>
      </c>
      <c r="H444" t="s">
        <v>814</v>
      </c>
      <c r="I444" t="s">
        <v>485</v>
      </c>
      <c r="O444">
        <v>1</v>
      </c>
      <c r="P444">
        <v>1</v>
      </c>
      <c r="Q444">
        <v>1</v>
      </c>
      <c r="T444">
        <v>2</v>
      </c>
      <c r="U444">
        <f t="shared" si="47"/>
        <v>4</v>
      </c>
      <c r="V444">
        <f t="shared" si="48"/>
        <v>5</v>
      </c>
      <c r="W444" s="4">
        <f t="shared" si="45"/>
        <v>1.25</v>
      </c>
      <c r="X444" s="4">
        <f t="shared" si="46"/>
        <v>62.5</v>
      </c>
      <c r="Y444" t="s">
        <v>815</v>
      </c>
      <c r="Z444">
        <f t="shared" si="49"/>
        <v>465</v>
      </c>
      <c r="AA444">
        <f t="shared" si="51"/>
        <v>0</v>
      </c>
    </row>
    <row r="445" spans="1:27" x14ac:dyDescent="0.2">
      <c r="A445">
        <v>2</v>
      </c>
      <c r="B445" t="s">
        <v>129</v>
      </c>
      <c r="C445">
        <v>9</v>
      </c>
      <c r="D445" t="s">
        <v>147</v>
      </c>
      <c r="E445" t="s">
        <v>578</v>
      </c>
      <c r="F445">
        <v>1</v>
      </c>
      <c r="G445" t="s">
        <v>813</v>
      </c>
      <c r="H445" t="s">
        <v>816</v>
      </c>
      <c r="I445" t="s">
        <v>485</v>
      </c>
      <c r="O445">
        <v>2</v>
      </c>
      <c r="P445">
        <v>2</v>
      </c>
      <c r="Q445">
        <v>2</v>
      </c>
      <c r="T445">
        <v>1</v>
      </c>
      <c r="U445">
        <f t="shared" si="47"/>
        <v>4</v>
      </c>
      <c r="V445">
        <f t="shared" si="48"/>
        <v>7</v>
      </c>
      <c r="W445" s="4">
        <f t="shared" si="45"/>
        <v>1.75</v>
      </c>
      <c r="X445" s="4">
        <f t="shared" si="46"/>
        <v>87.5</v>
      </c>
      <c r="Z445">
        <f t="shared" si="49"/>
        <v>826</v>
      </c>
      <c r="AA445">
        <f t="shared" si="51"/>
        <v>0</v>
      </c>
    </row>
    <row r="446" spans="1:27" x14ac:dyDescent="0.2">
      <c r="A446">
        <v>3</v>
      </c>
      <c r="B446" t="s">
        <v>129</v>
      </c>
      <c r="C446">
        <v>9</v>
      </c>
      <c r="D446" t="s">
        <v>147</v>
      </c>
      <c r="E446" t="s">
        <v>578</v>
      </c>
      <c r="F446">
        <v>1</v>
      </c>
      <c r="G446" t="s">
        <v>813</v>
      </c>
      <c r="H446" t="s">
        <v>817</v>
      </c>
      <c r="I446" t="s">
        <v>485</v>
      </c>
      <c r="O446">
        <v>1</v>
      </c>
      <c r="P446">
        <v>1</v>
      </c>
      <c r="Q446">
        <v>1</v>
      </c>
      <c r="T446">
        <v>2</v>
      </c>
      <c r="U446">
        <f t="shared" si="47"/>
        <v>4</v>
      </c>
      <c r="V446">
        <f t="shared" si="48"/>
        <v>5</v>
      </c>
      <c r="W446" s="4">
        <f t="shared" si="45"/>
        <v>1.25</v>
      </c>
      <c r="X446" s="4">
        <f t="shared" si="46"/>
        <v>62.5</v>
      </c>
      <c r="Z446">
        <f t="shared" si="49"/>
        <v>507</v>
      </c>
      <c r="AA446">
        <f t="shared" si="51"/>
        <v>0</v>
      </c>
    </row>
    <row r="447" spans="1:27" x14ac:dyDescent="0.2">
      <c r="A447">
        <v>1</v>
      </c>
      <c r="B447" t="s">
        <v>129</v>
      </c>
      <c r="C447">
        <v>9</v>
      </c>
      <c r="D447" t="s">
        <v>147</v>
      </c>
      <c r="E447" t="s">
        <v>578</v>
      </c>
      <c r="F447">
        <v>1</v>
      </c>
      <c r="G447" t="s">
        <v>813</v>
      </c>
      <c r="H447" t="s">
        <v>818</v>
      </c>
      <c r="I447" t="s">
        <v>485</v>
      </c>
      <c r="O447">
        <v>2</v>
      </c>
      <c r="P447">
        <v>2</v>
      </c>
      <c r="Q447">
        <v>2</v>
      </c>
      <c r="T447">
        <v>2</v>
      </c>
      <c r="U447">
        <f t="shared" si="47"/>
        <v>4</v>
      </c>
      <c r="V447">
        <f t="shared" si="48"/>
        <v>8</v>
      </c>
      <c r="W447" s="4">
        <f t="shared" si="45"/>
        <v>2</v>
      </c>
      <c r="X447" s="4">
        <f t="shared" si="46"/>
        <v>100</v>
      </c>
      <c r="Y447" t="s">
        <v>819</v>
      </c>
      <c r="Z447">
        <f t="shared" si="49"/>
        <v>798</v>
      </c>
      <c r="AA447">
        <f t="shared" si="51"/>
        <v>0</v>
      </c>
    </row>
    <row r="448" spans="1:27" x14ac:dyDescent="0.2">
      <c r="A448">
        <v>2</v>
      </c>
      <c r="B448" t="s">
        <v>129</v>
      </c>
      <c r="C448">
        <v>9</v>
      </c>
      <c r="D448" t="s">
        <v>147</v>
      </c>
      <c r="E448" t="s">
        <v>578</v>
      </c>
      <c r="F448">
        <v>1</v>
      </c>
      <c r="G448" t="s">
        <v>813</v>
      </c>
      <c r="H448" t="s">
        <v>820</v>
      </c>
      <c r="I448" t="s">
        <v>485</v>
      </c>
      <c r="O448">
        <v>2</v>
      </c>
      <c r="P448">
        <v>2</v>
      </c>
      <c r="Q448">
        <v>2</v>
      </c>
      <c r="T448">
        <v>2</v>
      </c>
      <c r="U448">
        <f t="shared" si="47"/>
        <v>4</v>
      </c>
      <c r="V448">
        <f t="shared" si="48"/>
        <v>8</v>
      </c>
      <c r="W448" s="4">
        <f t="shared" si="45"/>
        <v>2</v>
      </c>
      <c r="X448" s="4">
        <f t="shared" si="46"/>
        <v>100</v>
      </c>
      <c r="Z448">
        <f t="shared" si="49"/>
        <v>967</v>
      </c>
      <c r="AA448">
        <f t="shared" si="51"/>
        <v>0</v>
      </c>
    </row>
    <row r="449" spans="1:27" x14ac:dyDescent="0.2">
      <c r="A449">
        <v>3</v>
      </c>
      <c r="B449" t="s">
        <v>129</v>
      </c>
      <c r="C449">
        <v>9</v>
      </c>
      <c r="D449" t="s">
        <v>147</v>
      </c>
      <c r="E449" t="s">
        <v>578</v>
      </c>
      <c r="F449">
        <v>1</v>
      </c>
      <c r="G449" t="s">
        <v>813</v>
      </c>
      <c r="H449" t="s">
        <v>821</v>
      </c>
      <c r="I449" t="s">
        <v>485</v>
      </c>
      <c r="O449">
        <v>2</v>
      </c>
      <c r="P449">
        <v>2</v>
      </c>
      <c r="Q449">
        <v>2</v>
      </c>
      <c r="T449">
        <v>2</v>
      </c>
      <c r="U449">
        <f t="shared" si="47"/>
        <v>4</v>
      </c>
      <c r="V449">
        <f t="shared" si="48"/>
        <v>8</v>
      </c>
      <c r="W449" s="4">
        <f t="shared" si="45"/>
        <v>2</v>
      </c>
      <c r="X449" s="4">
        <f t="shared" si="46"/>
        <v>100</v>
      </c>
      <c r="Z449">
        <f t="shared" si="49"/>
        <v>888</v>
      </c>
      <c r="AA449">
        <f t="shared" si="51"/>
        <v>0</v>
      </c>
    </row>
    <row r="450" spans="1:27" x14ac:dyDescent="0.2">
      <c r="A450">
        <v>1</v>
      </c>
      <c r="B450" t="s">
        <v>129</v>
      </c>
      <c r="C450">
        <v>9</v>
      </c>
      <c r="D450" t="s">
        <v>147</v>
      </c>
      <c r="E450" t="s">
        <v>578</v>
      </c>
      <c r="F450">
        <v>1</v>
      </c>
      <c r="G450" t="s">
        <v>822</v>
      </c>
      <c r="H450" t="s">
        <v>823</v>
      </c>
      <c r="I450" t="s">
        <v>485</v>
      </c>
      <c r="O450">
        <v>2</v>
      </c>
      <c r="P450">
        <v>2</v>
      </c>
      <c r="Q450">
        <v>2</v>
      </c>
      <c r="T450">
        <v>1</v>
      </c>
      <c r="U450">
        <f t="shared" si="47"/>
        <v>4</v>
      </c>
      <c r="V450">
        <f t="shared" si="48"/>
        <v>7</v>
      </c>
      <c r="W450" s="4">
        <f t="shared" ref="W450:W488" si="52">IF(U450=0,"",V450/U450)</f>
        <v>1.75</v>
      </c>
      <c r="X450" s="4">
        <f t="shared" ref="X450:X488" si="53">IF(W450="","",W450/2*100)</f>
        <v>87.5</v>
      </c>
      <c r="Y450" t="s">
        <v>824</v>
      </c>
      <c r="Z450">
        <f t="shared" si="49"/>
        <v>741</v>
      </c>
      <c r="AA450">
        <f t="shared" si="51"/>
        <v>0</v>
      </c>
    </row>
    <row r="451" spans="1:27" x14ac:dyDescent="0.2">
      <c r="A451">
        <v>2</v>
      </c>
      <c r="B451" t="s">
        <v>129</v>
      </c>
      <c r="C451">
        <v>9</v>
      </c>
      <c r="D451" t="s">
        <v>147</v>
      </c>
      <c r="E451" t="s">
        <v>578</v>
      </c>
      <c r="F451">
        <v>1</v>
      </c>
      <c r="G451" t="s">
        <v>822</v>
      </c>
      <c r="H451" t="s">
        <v>825</v>
      </c>
      <c r="I451" t="s">
        <v>485</v>
      </c>
      <c r="O451">
        <v>2</v>
      </c>
      <c r="P451">
        <v>2</v>
      </c>
      <c r="Q451">
        <v>2</v>
      </c>
      <c r="T451">
        <v>1</v>
      </c>
      <c r="U451">
        <f t="shared" ref="U451:U488" si="54">COUNT(J451:T451)</f>
        <v>4</v>
      </c>
      <c r="V451">
        <f t="shared" ref="V451:V479" si="55">SUM(J451:T451)</f>
        <v>7</v>
      </c>
      <c r="W451" s="4">
        <f t="shared" si="52"/>
        <v>1.75</v>
      </c>
      <c r="X451" s="4">
        <f t="shared" si="53"/>
        <v>87.5</v>
      </c>
      <c r="Y451" t="s">
        <v>824</v>
      </c>
      <c r="Z451">
        <f t="shared" ref="Z451:Z488" si="56">LEN(H451)</f>
        <v>852</v>
      </c>
      <c r="AA451">
        <f t="shared" si="51"/>
        <v>0</v>
      </c>
    </row>
    <row r="452" spans="1:27" x14ac:dyDescent="0.2">
      <c r="A452">
        <v>3</v>
      </c>
      <c r="B452" t="s">
        <v>129</v>
      </c>
      <c r="C452">
        <v>9</v>
      </c>
      <c r="D452" t="s">
        <v>147</v>
      </c>
      <c r="E452" t="s">
        <v>578</v>
      </c>
      <c r="F452">
        <v>1</v>
      </c>
      <c r="G452" t="s">
        <v>822</v>
      </c>
      <c r="H452" t="s">
        <v>826</v>
      </c>
      <c r="I452" t="s">
        <v>485</v>
      </c>
      <c r="O452">
        <v>2</v>
      </c>
      <c r="P452">
        <v>2</v>
      </c>
      <c r="Q452">
        <v>2</v>
      </c>
      <c r="T452">
        <v>1</v>
      </c>
      <c r="U452">
        <f t="shared" si="54"/>
        <v>4</v>
      </c>
      <c r="V452">
        <f t="shared" si="55"/>
        <v>7</v>
      </c>
      <c r="W452" s="4">
        <f t="shared" si="52"/>
        <v>1.75</v>
      </c>
      <c r="X452" s="4">
        <f t="shared" si="53"/>
        <v>87.5</v>
      </c>
      <c r="Y452" t="s">
        <v>824</v>
      </c>
      <c r="Z452">
        <f t="shared" si="56"/>
        <v>806</v>
      </c>
      <c r="AA452">
        <f t="shared" si="51"/>
        <v>0</v>
      </c>
    </row>
    <row r="453" spans="1:27" x14ac:dyDescent="0.2">
      <c r="A453">
        <v>1</v>
      </c>
      <c r="B453" t="s">
        <v>129</v>
      </c>
      <c r="C453">
        <v>9</v>
      </c>
      <c r="D453" t="s">
        <v>147</v>
      </c>
      <c r="E453" t="s">
        <v>578</v>
      </c>
      <c r="F453">
        <v>1</v>
      </c>
      <c r="G453" t="s">
        <v>827</v>
      </c>
      <c r="H453" t="s">
        <v>828</v>
      </c>
      <c r="I453" s="5" t="s">
        <v>485</v>
      </c>
      <c r="O453">
        <v>1</v>
      </c>
      <c r="P453">
        <v>1</v>
      </c>
      <c r="Q453">
        <v>1</v>
      </c>
      <c r="T453">
        <v>2</v>
      </c>
      <c r="U453">
        <f t="shared" si="54"/>
        <v>4</v>
      </c>
      <c r="V453">
        <f t="shared" si="55"/>
        <v>5</v>
      </c>
      <c r="W453" s="4">
        <f t="shared" si="52"/>
        <v>1.25</v>
      </c>
      <c r="X453" s="4">
        <f t="shared" si="53"/>
        <v>62.5</v>
      </c>
      <c r="Y453" t="s">
        <v>595</v>
      </c>
      <c r="Z453">
        <f t="shared" si="56"/>
        <v>449</v>
      </c>
      <c r="AA453">
        <f t="shared" si="51"/>
        <v>0</v>
      </c>
    </row>
    <row r="454" spans="1:27" x14ac:dyDescent="0.2">
      <c r="A454">
        <v>2</v>
      </c>
      <c r="B454" t="s">
        <v>129</v>
      </c>
      <c r="C454">
        <v>9</v>
      </c>
      <c r="D454" t="s">
        <v>147</v>
      </c>
      <c r="E454" t="s">
        <v>578</v>
      </c>
      <c r="F454">
        <v>1</v>
      </c>
      <c r="G454" t="s">
        <v>827</v>
      </c>
      <c r="H454" t="s">
        <v>829</v>
      </c>
      <c r="I454" s="5" t="s">
        <v>485</v>
      </c>
      <c r="O454">
        <v>1</v>
      </c>
      <c r="P454">
        <v>1</v>
      </c>
      <c r="Q454">
        <v>1</v>
      </c>
      <c r="T454">
        <v>2</v>
      </c>
      <c r="U454">
        <f t="shared" si="54"/>
        <v>4</v>
      </c>
      <c r="V454">
        <f t="shared" si="55"/>
        <v>5</v>
      </c>
      <c r="W454" s="4">
        <f t="shared" si="52"/>
        <v>1.25</v>
      </c>
      <c r="X454" s="4">
        <f t="shared" si="53"/>
        <v>62.5</v>
      </c>
      <c r="Y454" t="s">
        <v>595</v>
      </c>
      <c r="Z454">
        <f t="shared" si="56"/>
        <v>553</v>
      </c>
      <c r="AA454">
        <f t="shared" si="51"/>
        <v>0</v>
      </c>
    </row>
    <row r="455" spans="1:27" x14ac:dyDescent="0.2">
      <c r="A455">
        <v>3</v>
      </c>
      <c r="B455" t="s">
        <v>129</v>
      </c>
      <c r="C455">
        <v>9</v>
      </c>
      <c r="D455" t="s">
        <v>147</v>
      </c>
      <c r="E455" t="s">
        <v>578</v>
      </c>
      <c r="F455">
        <v>1</v>
      </c>
      <c r="G455" t="s">
        <v>827</v>
      </c>
      <c r="H455" t="s">
        <v>830</v>
      </c>
      <c r="I455" s="5" t="s">
        <v>485</v>
      </c>
      <c r="O455">
        <v>1</v>
      </c>
      <c r="P455">
        <v>1</v>
      </c>
      <c r="Q455">
        <v>1</v>
      </c>
      <c r="T455">
        <v>2</v>
      </c>
      <c r="U455">
        <f t="shared" si="54"/>
        <v>4</v>
      </c>
      <c r="V455">
        <f t="shared" si="55"/>
        <v>5</v>
      </c>
      <c r="W455" s="4">
        <f t="shared" si="52"/>
        <v>1.25</v>
      </c>
      <c r="X455" s="4">
        <f t="shared" si="53"/>
        <v>62.5</v>
      </c>
      <c r="Y455" t="s">
        <v>595</v>
      </c>
      <c r="Z455">
        <f t="shared" si="56"/>
        <v>544</v>
      </c>
      <c r="AA455">
        <f t="shared" si="51"/>
        <v>0</v>
      </c>
    </row>
    <row r="456" spans="1:27" x14ac:dyDescent="0.2">
      <c r="A456">
        <v>1</v>
      </c>
      <c r="B456" t="s">
        <v>129</v>
      </c>
      <c r="C456">
        <v>9</v>
      </c>
      <c r="D456" t="s">
        <v>147</v>
      </c>
      <c r="E456" t="s">
        <v>578</v>
      </c>
      <c r="F456">
        <v>1</v>
      </c>
      <c r="G456" t="s">
        <v>831</v>
      </c>
      <c r="H456" t="s">
        <v>832</v>
      </c>
      <c r="I456" s="5" t="s">
        <v>485</v>
      </c>
      <c r="O456">
        <v>1</v>
      </c>
      <c r="P456">
        <v>1</v>
      </c>
      <c r="Q456">
        <v>1</v>
      </c>
      <c r="T456">
        <v>2</v>
      </c>
      <c r="U456">
        <f t="shared" si="54"/>
        <v>4</v>
      </c>
      <c r="V456">
        <f t="shared" si="55"/>
        <v>5</v>
      </c>
      <c r="W456" s="4">
        <f t="shared" si="52"/>
        <v>1.25</v>
      </c>
      <c r="X456" s="4">
        <f t="shared" si="53"/>
        <v>62.5</v>
      </c>
      <c r="Y456" t="s">
        <v>595</v>
      </c>
      <c r="Z456">
        <f t="shared" si="56"/>
        <v>411</v>
      </c>
      <c r="AA456">
        <f t="shared" si="51"/>
        <v>0</v>
      </c>
    </row>
    <row r="457" spans="1:27" x14ac:dyDescent="0.2">
      <c r="A457">
        <v>2</v>
      </c>
      <c r="B457" t="s">
        <v>129</v>
      </c>
      <c r="C457">
        <v>9</v>
      </c>
      <c r="D457" t="s">
        <v>147</v>
      </c>
      <c r="E457" t="s">
        <v>578</v>
      </c>
      <c r="F457">
        <v>1</v>
      </c>
      <c r="G457" t="s">
        <v>831</v>
      </c>
      <c r="H457" t="s">
        <v>833</v>
      </c>
      <c r="I457" s="5" t="s">
        <v>485</v>
      </c>
      <c r="O457">
        <v>2</v>
      </c>
      <c r="P457">
        <v>2</v>
      </c>
      <c r="Q457">
        <v>2</v>
      </c>
      <c r="T457">
        <v>1</v>
      </c>
      <c r="U457">
        <f t="shared" si="54"/>
        <v>4</v>
      </c>
      <c r="V457">
        <f t="shared" si="55"/>
        <v>7</v>
      </c>
      <c r="W457" s="4">
        <f t="shared" si="52"/>
        <v>1.75</v>
      </c>
      <c r="X457" s="4">
        <f t="shared" si="53"/>
        <v>87.5</v>
      </c>
      <c r="Y457" t="s">
        <v>766</v>
      </c>
      <c r="Z457">
        <f t="shared" si="56"/>
        <v>971</v>
      </c>
      <c r="AA457">
        <f t="shared" si="51"/>
        <v>0</v>
      </c>
    </row>
    <row r="458" spans="1:27" x14ac:dyDescent="0.2">
      <c r="A458">
        <v>3</v>
      </c>
      <c r="B458" t="s">
        <v>129</v>
      </c>
      <c r="C458">
        <v>9</v>
      </c>
      <c r="D458" t="s">
        <v>147</v>
      </c>
      <c r="E458" t="s">
        <v>578</v>
      </c>
      <c r="F458">
        <v>1</v>
      </c>
      <c r="G458" t="s">
        <v>831</v>
      </c>
      <c r="H458" t="s">
        <v>834</v>
      </c>
      <c r="I458" s="5" t="s">
        <v>485</v>
      </c>
      <c r="O458">
        <v>1</v>
      </c>
      <c r="P458">
        <v>1</v>
      </c>
      <c r="Q458">
        <v>1</v>
      </c>
      <c r="T458">
        <v>2</v>
      </c>
      <c r="U458">
        <f t="shared" si="54"/>
        <v>4</v>
      </c>
      <c r="V458">
        <f t="shared" si="55"/>
        <v>5</v>
      </c>
      <c r="W458" s="4">
        <f t="shared" si="52"/>
        <v>1.25</v>
      </c>
      <c r="X458" s="4">
        <f t="shared" si="53"/>
        <v>62.5</v>
      </c>
      <c r="Z458">
        <f t="shared" si="56"/>
        <v>437</v>
      </c>
      <c r="AA458">
        <f t="shared" si="51"/>
        <v>0</v>
      </c>
    </row>
    <row r="459" spans="1:27" x14ac:dyDescent="0.2">
      <c r="A459">
        <v>1</v>
      </c>
      <c r="B459" t="s">
        <v>129</v>
      </c>
      <c r="C459">
        <v>9</v>
      </c>
      <c r="D459" t="s">
        <v>147</v>
      </c>
      <c r="E459" t="s">
        <v>578</v>
      </c>
      <c r="F459">
        <v>1</v>
      </c>
      <c r="G459" t="s">
        <v>835</v>
      </c>
      <c r="H459" t="s">
        <v>836</v>
      </c>
      <c r="I459" s="5" t="s">
        <v>485</v>
      </c>
      <c r="O459">
        <v>1</v>
      </c>
      <c r="P459">
        <v>1</v>
      </c>
      <c r="Q459">
        <v>1</v>
      </c>
      <c r="T459">
        <v>1</v>
      </c>
      <c r="U459">
        <f t="shared" si="54"/>
        <v>4</v>
      </c>
      <c r="V459">
        <f t="shared" si="55"/>
        <v>4</v>
      </c>
      <c r="W459" s="4">
        <f t="shared" si="52"/>
        <v>1</v>
      </c>
      <c r="X459" s="4">
        <f t="shared" si="53"/>
        <v>50</v>
      </c>
      <c r="Y459" t="s">
        <v>595</v>
      </c>
      <c r="Z459">
        <f t="shared" si="56"/>
        <v>472</v>
      </c>
      <c r="AA459">
        <f t="shared" si="51"/>
        <v>0</v>
      </c>
    </row>
    <row r="460" spans="1:27" x14ac:dyDescent="0.2">
      <c r="A460">
        <v>2</v>
      </c>
      <c r="B460" t="s">
        <v>129</v>
      </c>
      <c r="C460">
        <v>9</v>
      </c>
      <c r="D460" t="s">
        <v>147</v>
      </c>
      <c r="E460" t="s">
        <v>578</v>
      </c>
      <c r="F460">
        <v>1</v>
      </c>
      <c r="G460" t="s">
        <v>835</v>
      </c>
      <c r="H460" t="s">
        <v>837</v>
      </c>
      <c r="I460" s="5" t="s">
        <v>485</v>
      </c>
      <c r="O460">
        <v>1</v>
      </c>
      <c r="P460">
        <v>1</v>
      </c>
      <c r="Q460">
        <v>1</v>
      </c>
      <c r="T460">
        <v>1</v>
      </c>
      <c r="U460">
        <f t="shared" si="54"/>
        <v>4</v>
      </c>
      <c r="V460">
        <f t="shared" si="55"/>
        <v>4</v>
      </c>
      <c r="W460" s="4">
        <f t="shared" si="52"/>
        <v>1</v>
      </c>
      <c r="X460" s="4">
        <f t="shared" si="53"/>
        <v>50</v>
      </c>
      <c r="Y460" t="s">
        <v>595</v>
      </c>
      <c r="Z460">
        <f t="shared" si="56"/>
        <v>528</v>
      </c>
      <c r="AA460">
        <f>IF(X460&lt;50,1,0)</f>
        <v>0</v>
      </c>
    </row>
    <row r="461" spans="1:27" x14ac:dyDescent="0.2">
      <c r="A461">
        <v>3</v>
      </c>
      <c r="B461" t="s">
        <v>129</v>
      </c>
      <c r="C461">
        <v>9</v>
      </c>
      <c r="D461" t="s">
        <v>147</v>
      </c>
      <c r="E461" t="s">
        <v>578</v>
      </c>
      <c r="F461">
        <v>1</v>
      </c>
      <c r="G461" t="s">
        <v>835</v>
      </c>
      <c r="H461" t="s">
        <v>838</v>
      </c>
      <c r="I461" s="5" t="s">
        <v>485</v>
      </c>
      <c r="O461">
        <v>1</v>
      </c>
      <c r="P461">
        <v>1</v>
      </c>
      <c r="Q461">
        <v>1</v>
      </c>
      <c r="T461">
        <v>1</v>
      </c>
      <c r="U461">
        <f t="shared" si="54"/>
        <v>4</v>
      </c>
      <c r="V461">
        <f t="shared" si="55"/>
        <v>4</v>
      </c>
      <c r="W461" s="4">
        <f t="shared" si="52"/>
        <v>1</v>
      </c>
      <c r="X461" s="4">
        <f t="shared" si="53"/>
        <v>50</v>
      </c>
      <c r="Y461" t="s">
        <v>595</v>
      </c>
      <c r="Z461">
        <f t="shared" si="56"/>
        <v>508</v>
      </c>
      <c r="AA461">
        <f t="shared" ref="AA461:AA488" si="57">IF(X461&lt;50,1,0)</f>
        <v>0</v>
      </c>
    </row>
    <row r="462" spans="1:27" x14ac:dyDescent="0.2">
      <c r="A462">
        <v>1</v>
      </c>
      <c r="B462" t="s">
        <v>129</v>
      </c>
      <c r="C462">
        <v>9</v>
      </c>
      <c r="D462" t="s">
        <v>147</v>
      </c>
      <c r="E462" t="s">
        <v>578</v>
      </c>
      <c r="F462">
        <v>1</v>
      </c>
      <c r="G462" t="s">
        <v>839</v>
      </c>
      <c r="H462" t="s">
        <v>840</v>
      </c>
      <c r="I462" s="5" t="s">
        <v>485</v>
      </c>
      <c r="O462">
        <v>1</v>
      </c>
      <c r="P462">
        <v>1</v>
      </c>
      <c r="Q462">
        <v>1</v>
      </c>
      <c r="T462">
        <v>2</v>
      </c>
      <c r="U462">
        <f t="shared" si="54"/>
        <v>4</v>
      </c>
      <c r="V462">
        <f t="shared" si="55"/>
        <v>5</v>
      </c>
      <c r="W462" s="4">
        <f t="shared" si="52"/>
        <v>1.25</v>
      </c>
      <c r="X462" s="4">
        <f t="shared" si="53"/>
        <v>62.5</v>
      </c>
      <c r="Y462" t="s">
        <v>595</v>
      </c>
      <c r="Z462">
        <f t="shared" si="56"/>
        <v>492</v>
      </c>
      <c r="AA462">
        <f t="shared" si="57"/>
        <v>0</v>
      </c>
    </row>
    <row r="463" spans="1:27" x14ac:dyDescent="0.2">
      <c r="A463">
        <v>2</v>
      </c>
      <c r="B463" t="s">
        <v>129</v>
      </c>
      <c r="C463">
        <v>9</v>
      </c>
      <c r="D463" t="s">
        <v>147</v>
      </c>
      <c r="E463" t="s">
        <v>578</v>
      </c>
      <c r="F463">
        <v>1</v>
      </c>
      <c r="G463" t="s">
        <v>839</v>
      </c>
      <c r="H463" t="s">
        <v>841</v>
      </c>
      <c r="I463" s="5" t="s">
        <v>485</v>
      </c>
      <c r="O463">
        <v>1</v>
      </c>
      <c r="P463">
        <v>1</v>
      </c>
      <c r="Q463">
        <v>1</v>
      </c>
      <c r="T463">
        <v>2</v>
      </c>
      <c r="U463">
        <f t="shared" si="54"/>
        <v>4</v>
      </c>
      <c r="V463">
        <f t="shared" si="55"/>
        <v>5</v>
      </c>
      <c r="W463" s="4">
        <f t="shared" si="52"/>
        <v>1.25</v>
      </c>
      <c r="X463" s="4">
        <f t="shared" si="53"/>
        <v>62.5</v>
      </c>
      <c r="Y463" t="s">
        <v>595</v>
      </c>
      <c r="Z463">
        <f t="shared" si="56"/>
        <v>454</v>
      </c>
      <c r="AA463">
        <f t="shared" si="57"/>
        <v>0</v>
      </c>
    </row>
    <row r="464" spans="1:27" x14ac:dyDescent="0.2">
      <c r="A464">
        <v>3</v>
      </c>
      <c r="B464" t="s">
        <v>129</v>
      </c>
      <c r="C464">
        <v>9</v>
      </c>
      <c r="D464" t="s">
        <v>147</v>
      </c>
      <c r="E464" t="s">
        <v>578</v>
      </c>
      <c r="F464">
        <v>1</v>
      </c>
      <c r="G464" t="s">
        <v>839</v>
      </c>
      <c r="H464" t="s">
        <v>842</v>
      </c>
      <c r="I464" s="5" t="s">
        <v>485</v>
      </c>
      <c r="O464">
        <v>1</v>
      </c>
      <c r="P464">
        <v>1</v>
      </c>
      <c r="Q464">
        <v>1</v>
      </c>
      <c r="T464">
        <v>2</v>
      </c>
      <c r="U464">
        <f t="shared" si="54"/>
        <v>4</v>
      </c>
      <c r="V464">
        <f t="shared" si="55"/>
        <v>5</v>
      </c>
      <c r="W464" s="4">
        <f t="shared" si="52"/>
        <v>1.25</v>
      </c>
      <c r="X464" s="4">
        <f t="shared" si="53"/>
        <v>62.5</v>
      </c>
      <c r="Y464" t="s">
        <v>595</v>
      </c>
      <c r="Z464">
        <f t="shared" si="56"/>
        <v>444</v>
      </c>
      <c r="AA464">
        <f t="shared" si="57"/>
        <v>0</v>
      </c>
    </row>
    <row r="465" spans="1:27" x14ac:dyDescent="0.2">
      <c r="A465">
        <v>1</v>
      </c>
      <c r="B465" t="s">
        <v>129</v>
      </c>
      <c r="C465">
        <v>9</v>
      </c>
      <c r="D465" t="s">
        <v>147</v>
      </c>
      <c r="E465" t="s">
        <v>578</v>
      </c>
      <c r="F465">
        <v>1</v>
      </c>
      <c r="G465" t="s">
        <v>843</v>
      </c>
      <c r="H465" t="s">
        <v>844</v>
      </c>
      <c r="I465" s="5" t="s">
        <v>485</v>
      </c>
      <c r="O465">
        <v>0</v>
      </c>
      <c r="P465">
        <v>0</v>
      </c>
      <c r="Q465">
        <v>0</v>
      </c>
      <c r="T465">
        <v>0</v>
      </c>
      <c r="U465">
        <f t="shared" si="54"/>
        <v>4</v>
      </c>
      <c r="V465">
        <f t="shared" si="55"/>
        <v>0</v>
      </c>
      <c r="W465" s="4">
        <f t="shared" si="52"/>
        <v>0</v>
      </c>
      <c r="X465" s="4">
        <f t="shared" si="53"/>
        <v>0</v>
      </c>
      <c r="Y465" t="s">
        <v>845</v>
      </c>
      <c r="Z465">
        <f t="shared" si="56"/>
        <v>676</v>
      </c>
      <c r="AA465">
        <f t="shared" si="57"/>
        <v>1</v>
      </c>
    </row>
    <row r="466" spans="1:27" x14ac:dyDescent="0.2">
      <c r="A466">
        <v>2</v>
      </c>
      <c r="B466" t="s">
        <v>129</v>
      </c>
      <c r="C466">
        <v>9</v>
      </c>
      <c r="D466" t="s">
        <v>147</v>
      </c>
      <c r="E466" t="s">
        <v>578</v>
      </c>
      <c r="F466">
        <v>1</v>
      </c>
      <c r="G466" t="s">
        <v>843</v>
      </c>
      <c r="H466" t="s">
        <v>846</v>
      </c>
      <c r="I466" s="5" t="s">
        <v>485</v>
      </c>
      <c r="O466">
        <v>2</v>
      </c>
      <c r="P466">
        <v>2</v>
      </c>
      <c r="Q466">
        <v>2</v>
      </c>
      <c r="T466">
        <v>2</v>
      </c>
      <c r="U466">
        <f t="shared" si="54"/>
        <v>4</v>
      </c>
      <c r="V466">
        <f t="shared" si="55"/>
        <v>8</v>
      </c>
      <c r="W466" s="4">
        <f t="shared" si="52"/>
        <v>2</v>
      </c>
      <c r="X466" s="4">
        <f t="shared" si="53"/>
        <v>100</v>
      </c>
      <c r="Z466">
        <f t="shared" si="56"/>
        <v>434</v>
      </c>
      <c r="AA466">
        <f t="shared" si="57"/>
        <v>0</v>
      </c>
    </row>
    <row r="467" spans="1:27" x14ac:dyDescent="0.2">
      <c r="A467">
        <v>3</v>
      </c>
      <c r="B467" t="s">
        <v>129</v>
      </c>
      <c r="C467">
        <v>9</v>
      </c>
      <c r="D467" t="s">
        <v>147</v>
      </c>
      <c r="E467" t="s">
        <v>578</v>
      </c>
      <c r="F467">
        <v>1</v>
      </c>
      <c r="G467" t="s">
        <v>843</v>
      </c>
      <c r="H467" t="s">
        <v>847</v>
      </c>
      <c r="I467" s="5" t="s">
        <v>485</v>
      </c>
      <c r="O467">
        <v>2</v>
      </c>
      <c r="P467">
        <v>2</v>
      </c>
      <c r="Q467">
        <v>2</v>
      </c>
      <c r="T467">
        <v>2</v>
      </c>
      <c r="U467">
        <f t="shared" si="54"/>
        <v>4</v>
      </c>
      <c r="V467">
        <f t="shared" si="55"/>
        <v>8</v>
      </c>
      <c r="W467" s="4">
        <f t="shared" si="52"/>
        <v>2</v>
      </c>
      <c r="X467" s="4">
        <f t="shared" si="53"/>
        <v>100</v>
      </c>
      <c r="Z467">
        <f t="shared" si="56"/>
        <v>481</v>
      </c>
      <c r="AA467">
        <f t="shared" si="57"/>
        <v>0</v>
      </c>
    </row>
    <row r="468" spans="1:27" x14ac:dyDescent="0.2">
      <c r="A468">
        <v>1</v>
      </c>
      <c r="B468" t="s">
        <v>129</v>
      </c>
      <c r="C468">
        <v>9</v>
      </c>
      <c r="D468" t="s">
        <v>147</v>
      </c>
      <c r="E468" t="s">
        <v>578</v>
      </c>
      <c r="F468">
        <v>1</v>
      </c>
      <c r="G468" t="s">
        <v>848</v>
      </c>
      <c r="H468" t="s">
        <v>849</v>
      </c>
      <c r="I468" s="5" t="s">
        <v>485</v>
      </c>
      <c r="O468">
        <v>2</v>
      </c>
      <c r="P468">
        <v>2</v>
      </c>
      <c r="Q468">
        <v>2</v>
      </c>
      <c r="T468">
        <v>2</v>
      </c>
      <c r="U468">
        <f t="shared" si="54"/>
        <v>4</v>
      </c>
      <c r="V468">
        <f t="shared" si="55"/>
        <v>8</v>
      </c>
      <c r="W468" s="4">
        <f t="shared" si="52"/>
        <v>2</v>
      </c>
      <c r="X468" s="4">
        <f t="shared" si="53"/>
        <v>100</v>
      </c>
      <c r="Z468">
        <f t="shared" si="56"/>
        <v>451</v>
      </c>
      <c r="AA468">
        <f t="shared" si="57"/>
        <v>0</v>
      </c>
    </row>
    <row r="469" spans="1:27" x14ac:dyDescent="0.2">
      <c r="A469">
        <v>2</v>
      </c>
      <c r="B469" t="s">
        <v>129</v>
      </c>
      <c r="C469">
        <v>9</v>
      </c>
      <c r="D469" t="s">
        <v>147</v>
      </c>
      <c r="E469" t="s">
        <v>578</v>
      </c>
      <c r="F469">
        <v>1</v>
      </c>
      <c r="G469" t="s">
        <v>848</v>
      </c>
      <c r="H469" t="s">
        <v>850</v>
      </c>
      <c r="I469" s="5" t="s">
        <v>485</v>
      </c>
      <c r="O469">
        <v>2</v>
      </c>
      <c r="P469">
        <v>2</v>
      </c>
      <c r="Q469">
        <v>2</v>
      </c>
      <c r="T469">
        <v>2</v>
      </c>
      <c r="U469">
        <f t="shared" si="54"/>
        <v>4</v>
      </c>
      <c r="V469">
        <f t="shared" si="55"/>
        <v>8</v>
      </c>
      <c r="W469" s="4">
        <f t="shared" si="52"/>
        <v>2</v>
      </c>
      <c r="X469" s="4">
        <f t="shared" si="53"/>
        <v>100</v>
      </c>
      <c r="Z469">
        <f t="shared" si="56"/>
        <v>508</v>
      </c>
      <c r="AA469">
        <f t="shared" si="57"/>
        <v>0</v>
      </c>
    </row>
    <row r="470" spans="1:27" x14ac:dyDescent="0.2">
      <c r="A470">
        <v>3</v>
      </c>
      <c r="B470" t="s">
        <v>129</v>
      </c>
      <c r="C470">
        <v>9</v>
      </c>
      <c r="D470" t="s">
        <v>147</v>
      </c>
      <c r="E470" t="s">
        <v>578</v>
      </c>
      <c r="F470">
        <v>1</v>
      </c>
      <c r="G470" t="s">
        <v>848</v>
      </c>
      <c r="H470" t="s">
        <v>851</v>
      </c>
      <c r="I470" s="5" t="s">
        <v>485</v>
      </c>
      <c r="O470">
        <v>2</v>
      </c>
      <c r="P470">
        <v>2</v>
      </c>
      <c r="Q470">
        <v>2</v>
      </c>
      <c r="T470">
        <v>2</v>
      </c>
      <c r="U470">
        <f t="shared" si="54"/>
        <v>4</v>
      </c>
      <c r="V470">
        <f t="shared" si="55"/>
        <v>8</v>
      </c>
      <c r="W470" s="4">
        <f t="shared" si="52"/>
        <v>2</v>
      </c>
      <c r="X470" s="4">
        <f t="shared" si="53"/>
        <v>100</v>
      </c>
      <c r="Z470">
        <f t="shared" si="56"/>
        <v>499</v>
      </c>
      <c r="AA470">
        <f t="shared" si="57"/>
        <v>0</v>
      </c>
    </row>
    <row r="471" spans="1:27" x14ac:dyDescent="0.2">
      <c r="A471">
        <v>1</v>
      </c>
      <c r="B471" t="s">
        <v>129</v>
      </c>
      <c r="C471">
        <v>9</v>
      </c>
      <c r="D471" t="s">
        <v>147</v>
      </c>
      <c r="E471" t="s">
        <v>578</v>
      </c>
      <c r="F471">
        <v>1</v>
      </c>
      <c r="G471" t="s">
        <v>852</v>
      </c>
      <c r="H471" t="s">
        <v>853</v>
      </c>
      <c r="I471" s="5" t="s">
        <v>485</v>
      </c>
      <c r="O471">
        <v>2</v>
      </c>
      <c r="P471">
        <v>2</v>
      </c>
      <c r="Q471">
        <v>2</v>
      </c>
      <c r="T471">
        <v>2</v>
      </c>
      <c r="U471">
        <f t="shared" si="54"/>
        <v>4</v>
      </c>
      <c r="V471">
        <f t="shared" si="55"/>
        <v>8</v>
      </c>
      <c r="W471" s="4">
        <f t="shared" si="52"/>
        <v>2</v>
      </c>
      <c r="X471" s="4">
        <f t="shared" si="53"/>
        <v>100</v>
      </c>
      <c r="Z471">
        <f t="shared" si="56"/>
        <v>587</v>
      </c>
      <c r="AA471">
        <f t="shared" si="57"/>
        <v>0</v>
      </c>
    </row>
    <row r="472" spans="1:27" x14ac:dyDescent="0.2">
      <c r="A472">
        <v>2</v>
      </c>
      <c r="B472" t="s">
        <v>129</v>
      </c>
      <c r="C472">
        <v>9</v>
      </c>
      <c r="D472" t="s">
        <v>147</v>
      </c>
      <c r="E472" t="s">
        <v>578</v>
      </c>
      <c r="F472">
        <v>1</v>
      </c>
      <c r="G472" t="s">
        <v>852</v>
      </c>
      <c r="H472" t="s">
        <v>853</v>
      </c>
      <c r="I472" s="5" t="s">
        <v>485</v>
      </c>
      <c r="O472">
        <v>2</v>
      </c>
      <c r="P472">
        <v>2</v>
      </c>
      <c r="Q472">
        <v>2</v>
      </c>
      <c r="T472">
        <v>2</v>
      </c>
      <c r="U472">
        <f t="shared" si="54"/>
        <v>4</v>
      </c>
      <c r="V472">
        <f t="shared" si="55"/>
        <v>8</v>
      </c>
      <c r="W472" s="4">
        <f t="shared" si="52"/>
        <v>2</v>
      </c>
      <c r="X472" s="4">
        <f t="shared" si="53"/>
        <v>100</v>
      </c>
      <c r="Z472">
        <f t="shared" si="56"/>
        <v>587</v>
      </c>
      <c r="AA472">
        <f t="shared" si="57"/>
        <v>0</v>
      </c>
    </row>
    <row r="473" spans="1:27" x14ac:dyDescent="0.2">
      <c r="A473">
        <v>3</v>
      </c>
      <c r="B473" t="s">
        <v>129</v>
      </c>
      <c r="C473">
        <v>9</v>
      </c>
      <c r="D473" t="s">
        <v>147</v>
      </c>
      <c r="E473" t="s">
        <v>578</v>
      </c>
      <c r="F473">
        <v>1</v>
      </c>
      <c r="G473" t="s">
        <v>852</v>
      </c>
      <c r="H473" t="s">
        <v>854</v>
      </c>
      <c r="I473" s="5" t="s">
        <v>485</v>
      </c>
      <c r="O473">
        <v>2</v>
      </c>
      <c r="P473">
        <v>2</v>
      </c>
      <c r="Q473">
        <v>2</v>
      </c>
      <c r="T473">
        <v>2</v>
      </c>
      <c r="U473">
        <f t="shared" si="54"/>
        <v>4</v>
      </c>
      <c r="V473">
        <f t="shared" si="55"/>
        <v>8</v>
      </c>
      <c r="W473" s="4">
        <f t="shared" si="52"/>
        <v>2</v>
      </c>
      <c r="X473" s="4">
        <f t="shared" si="53"/>
        <v>100</v>
      </c>
      <c r="Z473">
        <f t="shared" si="56"/>
        <v>450</v>
      </c>
      <c r="AA473">
        <f t="shared" si="57"/>
        <v>0</v>
      </c>
    </row>
    <row r="474" spans="1:27" x14ac:dyDescent="0.2">
      <c r="A474">
        <v>1</v>
      </c>
      <c r="B474" t="s">
        <v>129</v>
      </c>
      <c r="C474">
        <v>9</v>
      </c>
      <c r="D474" t="s">
        <v>147</v>
      </c>
      <c r="E474" t="s">
        <v>578</v>
      </c>
      <c r="F474">
        <v>1</v>
      </c>
      <c r="G474" t="s">
        <v>855</v>
      </c>
      <c r="H474" t="s">
        <v>856</v>
      </c>
      <c r="I474" s="5" t="s">
        <v>485</v>
      </c>
      <c r="O474">
        <v>2</v>
      </c>
      <c r="P474">
        <v>2</v>
      </c>
      <c r="Q474">
        <v>2</v>
      </c>
      <c r="T474">
        <v>2</v>
      </c>
      <c r="U474">
        <f t="shared" si="54"/>
        <v>4</v>
      </c>
      <c r="V474">
        <f t="shared" si="55"/>
        <v>8</v>
      </c>
      <c r="W474" s="4">
        <f t="shared" si="52"/>
        <v>2</v>
      </c>
      <c r="X474" s="4">
        <f t="shared" si="53"/>
        <v>100</v>
      </c>
      <c r="Y474" t="s">
        <v>723</v>
      </c>
      <c r="Z474">
        <f t="shared" si="56"/>
        <v>882</v>
      </c>
      <c r="AA474">
        <f t="shared" si="57"/>
        <v>0</v>
      </c>
    </row>
    <row r="475" spans="1:27" x14ac:dyDescent="0.2">
      <c r="A475">
        <v>2</v>
      </c>
      <c r="B475" t="s">
        <v>129</v>
      </c>
      <c r="C475">
        <v>9</v>
      </c>
      <c r="D475" t="s">
        <v>147</v>
      </c>
      <c r="E475" t="s">
        <v>578</v>
      </c>
      <c r="F475">
        <v>1</v>
      </c>
      <c r="G475" t="s">
        <v>855</v>
      </c>
      <c r="H475" t="s">
        <v>857</v>
      </c>
      <c r="I475" s="5" t="s">
        <v>485</v>
      </c>
      <c r="O475">
        <v>2</v>
      </c>
      <c r="P475">
        <v>2</v>
      </c>
      <c r="Q475">
        <v>2</v>
      </c>
      <c r="T475">
        <v>2</v>
      </c>
      <c r="U475">
        <f t="shared" si="54"/>
        <v>4</v>
      </c>
      <c r="V475">
        <f t="shared" si="55"/>
        <v>8</v>
      </c>
      <c r="W475" s="4">
        <f t="shared" si="52"/>
        <v>2</v>
      </c>
      <c r="X475" s="4">
        <f t="shared" si="53"/>
        <v>100</v>
      </c>
      <c r="Y475" t="s">
        <v>723</v>
      </c>
      <c r="Z475">
        <f t="shared" si="56"/>
        <v>761</v>
      </c>
      <c r="AA475">
        <f t="shared" si="57"/>
        <v>0</v>
      </c>
    </row>
    <row r="476" spans="1:27" x14ac:dyDescent="0.2">
      <c r="A476">
        <v>3</v>
      </c>
      <c r="B476" t="s">
        <v>129</v>
      </c>
      <c r="C476">
        <v>9</v>
      </c>
      <c r="D476" t="s">
        <v>147</v>
      </c>
      <c r="E476" t="s">
        <v>578</v>
      </c>
      <c r="F476">
        <v>1</v>
      </c>
      <c r="G476" t="s">
        <v>855</v>
      </c>
      <c r="H476" t="s">
        <v>858</v>
      </c>
      <c r="I476" s="5" t="s">
        <v>485</v>
      </c>
      <c r="O476">
        <v>1</v>
      </c>
      <c r="P476">
        <v>1</v>
      </c>
      <c r="Q476">
        <v>1</v>
      </c>
      <c r="T476">
        <v>1</v>
      </c>
      <c r="U476">
        <f t="shared" si="54"/>
        <v>4</v>
      </c>
      <c r="V476">
        <f t="shared" si="55"/>
        <v>4</v>
      </c>
      <c r="W476" s="4">
        <f t="shared" si="52"/>
        <v>1</v>
      </c>
      <c r="X476" s="4">
        <f t="shared" si="53"/>
        <v>50</v>
      </c>
      <c r="Z476">
        <f t="shared" si="56"/>
        <v>490</v>
      </c>
      <c r="AA476">
        <f t="shared" si="57"/>
        <v>0</v>
      </c>
    </row>
    <row r="477" spans="1:27" x14ac:dyDescent="0.2">
      <c r="A477">
        <v>1</v>
      </c>
      <c r="B477" t="s">
        <v>129</v>
      </c>
      <c r="C477">
        <v>9</v>
      </c>
      <c r="D477" t="s">
        <v>147</v>
      </c>
      <c r="E477" t="s">
        <v>578</v>
      </c>
      <c r="F477">
        <v>1</v>
      </c>
      <c r="G477" t="s">
        <v>859</v>
      </c>
      <c r="H477" t="s">
        <v>860</v>
      </c>
      <c r="I477" s="5" t="s">
        <v>485</v>
      </c>
      <c r="O477">
        <v>2</v>
      </c>
      <c r="P477">
        <v>2</v>
      </c>
      <c r="Q477">
        <v>2</v>
      </c>
      <c r="T477">
        <v>2</v>
      </c>
      <c r="U477">
        <f t="shared" si="54"/>
        <v>4</v>
      </c>
      <c r="V477">
        <f t="shared" si="55"/>
        <v>8</v>
      </c>
      <c r="W477" s="4">
        <f t="shared" si="52"/>
        <v>2</v>
      </c>
      <c r="X477" s="4">
        <f t="shared" si="53"/>
        <v>100</v>
      </c>
      <c r="Z477">
        <f t="shared" si="56"/>
        <v>768</v>
      </c>
      <c r="AA477">
        <f t="shared" si="57"/>
        <v>0</v>
      </c>
    </row>
    <row r="478" spans="1:27" x14ac:dyDescent="0.2">
      <c r="A478">
        <v>2</v>
      </c>
      <c r="B478" t="s">
        <v>129</v>
      </c>
      <c r="C478">
        <v>9</v>
      </c>
      <c r="D478" t="s">
        <v>147</v>
      </c>
      <c r="E478" t="s">
        <v>578</v>
      </c>
      <c r="F478">
        <v>1</v>
      </c>
      <c r="G478" t="s">
        <v>859</v>
      </c>
      <c r="H478" t="s">
        <v>861</v>
      </c>
      <c r="I478" s="5" t="s">
        <v>485</v>
      </c>
      <c r="O478">
        <v>2</v>
      </c>
      <c r="P478">
        <v>2</v>
      </c>
      <c r="Q478">
        <v>2</v>
      </c>
      <c r="T478">
        <v>2</v>
      </c>
      <c r="U478">
        <f t="shared" si="54"/>
        <v>4</v>
      </c>
      <c r="V478">
        <f t="shared" si="55"/>
        <v>8</v>
      </c>
      <c r="W478" s="4">
        <f t="shared" si="52"/>
        <v>2</v>
      </c>
      <c r="X478" s="4">
        <f t="shared" si="53"/>
        <v>100</v>
      </c>
      <c r="Z478">
        <f t="shared" si="56"/>
        <v>1003</v>
      </c>
      <c r="AA478">
        <f t="shared" si="57"/>
        <v>0</v>
      </c>
    </row>
    <row r="479" spans="1:27" x14ac:dyDescent="0.2">
      <c r="A479">
        <v>3</v>
      </c>
      <c r="B479" t="s">
        <v>129</v>
      </c>
      <c r="C479">
        <v>9</v>
      </c>
      <c r="D479" t="s">
        <v>147</v>
      </c>
      <c r="E479" t="s">
        <v>578</v>
      </c>
      <c r="F479">
        <v>1</v>
      </c>
      <c r="G479" t="s">
        <v>859</v>
      </c>
      <c r="H479" t="s">
        <v>862</v>
      </c>
      <c r="I479" s="5" t="s">
        <v>485</v>
      </c>
      <c r="O479">
        <v>2</v>
      </c>
      <c r="P479">
        <v>2</v>
      </c>
      <c r="Q479">
        <v>2</v>
      </c>
      <c r="T479">
        <v>2</v>
      </c>
      <c r="U479">
        <f t="shared" si="54"/>
        <v>4</v>
      </c>
      <c r="V479">
        <f t="shared" si="55"/>
        <v>8</v>
      </c>
      <c r="W479" s="4">
        <f t="shared" si="52"/>
        <v>2</v>
      </c>
      <c r="X479" s="4">
        <f t="shared" si="53"/>
        <v>100</v>
      </c>
      <c r="Z479">
        <f t="shared" si="56"/>
        <v>992</v>
      </c>
      <c r="AA479">
        <f t="shared" si="57"/>
        <v>0</v>
      </c>
    </row>
    <row r="480" spans="1:27" x14ac:dyDescent="0.2">
      <c r="A480">
        <v>1</v>
      </c>
      <c r="B480" t="s">
        <v>133</v>
      </c>
      <c r="C480">
        <v>11</v>
      </c>
      <c r="D480" t="s">
        <v>149</v>
      </c>
      <c r="E480" t="s">
        <v>135</v>
      </c>
      <c r="F480">
        <v>1</v>
      </c>
      <c r="G480" t="s">
        <v>863</v>
      </c>
      <c r="H480" t="s">
        <v>864</v>
      </c>
      <c r="I480" s="5" t="s">
        <v>485</v>
      </c>
      <c r="M480">
        <v>2</v>
      </c>
      <c r="S480">
        <v>1</v>
      </c>
      <c r="U480">
        <f t="shared" ref="U480:U488" si="58">COUNT(J480:S480)</f>
        <v>2</v>
      </c>
      <c r="V480">
        <f t="shared" ref="V480:V488" si="59">SUM(J480:S480)</f>
        <v>3</v>
      </c>
      <c r="W480" s="4">
        <f t="shared" si="52"/>
        <v>1.5</v>
      </c>
      <c r="X480" s="4">
        <f t="shared" si="53"/>
        <v>75</v>
      </c>
      <c r="Y480" t="s">
        <v>865</v>
      </c>
      <c r="Z480">
        <f t="shared" si="56"/>
        <v>251</v>
      </c>
      <c r="AA480">
        <f t="shared" si="57"/>
        <v>0</v>
      </c>
    </row>
    <row r="481" spans="1:27" x14ac:dyDescent="0.2">
      <c r="A481">
        <v>1</v>
      </c>
      <c r="B481" t="s">
        <v>133</v>
      </c>
      <c r="C481">
        <v>11</v>
      </c>
      <c r="D481" t="s">
        <v>149</v>
      </c>
      <c r="E481" t="s">
        <v>135</v>
      </c>
      <c r="F481">
        <v>2</v>
      </c>
      <c r="G481" t="s">
        <v>863</v>
      </c>
      <c r="H481" t="s">
        <v>866</v>
      </c>
      <c r="I481" s="5" t="s">
        <v>485</v>
      </c>
      <c r="M481">
        <v>2</v>
      </c>
      <c r="S481">
        <v>1</v>
      </c>
      <c r="U481">
        <f t="shared" si="58"/>
        <v>2</v>
      </c>
      <c r="V481">
        <f t="shared" si="59"/>
        <v>3</v>
      </c>
      <c r="W481" s="4">
        <f t="shared" si="52"/>
        <v>1.5</v>
      </c>
      <c r="X481" s="4">
        <f t="shared" si="53"/>
        <v>75</v>
      </c>
      <c r="Z481">
        <f t="shared" si="56"/>
        <v>283</v>
      </c>
      <c r="AA481">
        <f t="shared" si="57"/>
        <v>0</v>
      </c>
    </row>
    <row r="482" spans="1:27" x14ac:dyDescent="0.2">
      <c r="A482">
        <v>1</v>
      </c>
      <c r="B482" t="s">
        <v>133</v>
      </c>
      <c r="C482">
        <v>11</v>
      </c>
      <c r="D482" t="s">
        <v>149</v>
      </c>
      <c r="E482" t="s">
        <v>135</v>
      </c>
      <c r="F482">
        <v>3</v>
      </c>
      <c r="G482" t="s">
        <v>863</v>
      </c>
      <c r="H482" t="s">
        <v>867</v>
      </c>
      <c r="I482" s="5" t="s">
        <v>485</v>
      </c>
      <c r="M482">
        <v>2</v>
      </c>
      <c r="S482">
        <v>1</v>
      </c>
      <c r="U482">
        <f t="shared" si="58"/>
        <v>2</v>
      </c>
      <c r="V482">
        <f t="shared" si="59"/>
        <v>3</v>
      </c>
      <c r="W482" s="4">
        <f t="shared" si="52"/>
        <v>1.5</v>
      </c>
      <c r="X482" s="4">
        <f t="shared" si="53"/>
        <v>75</v>
      </c>
      <c r="Z482">
        <f t="shared" si="56"/>
        <v>377</v>
      </c>
      <c r="AA482">
        <f t="shared" si="57"/>
        <v>0</v>
      </c>
    </row>
    <row r="483" spans="1:27" x14ac:dyDescent="0.2">
      <c r="A483">
        <v>2</v>
      </c>
      <c r="B483" t="s">
        <v>133</v>
      </c>
      <c r="C483">
        <v>11</v>
      </c>
      <c r="D483" t="s">
        <v>149</v>
      </c>
      <c r="E483" t="s">
        <v>135</v>
      </c>
      <c r="F483">
        <v>1</v>
      </c>
      <c r="G483" t="s">
        <v>863</v>
      </c>
      <c r="H483" t="s">
        <v>868</v>
      </c>
      <c r="I483" s="5" t="s">
        <v>485</v>
      </c>
      <c r="M483">
        <v>2</v>
      </c>
      <c r="S483">
        <v>1</v>
      </c>
      <c r="U483">
        <f t="shared" si="58"/>
        <v>2</v>
      </c>
      <c r="V483">
        <f t="shared" si="59"/>
        <v>3</v>
      </c>
      <c r="W483" s="4">
        <f t="shared" si="52"/>
        <v>1.5</v>
      </c>
      <c r="X483" s="4">
        <f t="shared" si="53"/>
        <v>75</v>
      </c>
      <c r="Y483" t="s">
        <v>869</v>
      </c>
      <c r="Z483">
        <f t="shared" si="56"/>
        <v>609</v>
      </c>
      <c r="AA483">
        <f t="shared" si="57"/>
        <v>0</v>
      </c>
    </row>
    <row r="484" spans="1:27" x14ac:dyDescent="0.2">
      <c r="A484">
        <v>2</v>
      </c>
      <c r="B484" t="s">
        <v>133</v>
      </c>
      <c r="C484">
        <v>11</v>
      </c>
      <c r="D484" t="s">
        <v>149</v>
      </c>
      <c r="E484" t="s">
        <v>135</v>
      </c>
      <c r="F484">
        <v>2</v>
      </c>
      <c r="G484" t="s">
        <v>863</v>
      </c>
      <c r="H484" t="s">
        <v>870</v>
      </c>
      <c r="I484" s="5" t="s">
        <v>485</v>
      </c>
      <c r="M484">
        <v>2</v>
      </c>
      <c r="S484">
        <v>1</v>
      </c>
      <c r="U484">
        <f t="shared" si="58"/>
        <v>2</v>
      </c>
      <c r="V484">
        <f t="shared" si="59"/>
        <v>3</v>
      </c>
      <c r="W484" s="4">
        <f t="shared" si="52"/>
        <v>1.5</v>
      </c>
      <c r="X484" s="4">
        <f t="shared" si="53"/>
        <v>75</v>
      </c>
      <c r="Z484">
        <f t="shared" si="56"/>
        <v>636</v>
      </c>
      <c r="AA484">
        <f t="shared" si="57"/>
        <v>0</v>
      </c>
    </row>
    <row r="485" spans="1:27" x14ac:dyDescent="0.2">
      <c r="A485">
        <v>2</v>
      </c>
      <c r="B485" t="s">
        <v>133</v>
      </c>
      <c r="C485">
        <v>11</v>
      </c>
      <c r="D485" t="s">
        <v>149</v>
      </c>
      <c r="E485" t="s">
        <v>135</v>
      </c>
      <c r="F485">
        <v>3</v>
      </c>
      <c r="G485" t="s">
        <v>863</v>
      </c>
      <c r="H485" t="s">
        <v>871</v>
      </c>
      <c r="I485" s="5" t="s">
        <v>485</v>
      </c>
      <c r="M485">
        <v>2</v>
      </c>
      <c r="S485">
        <v>1</v>
      </c>
      <c r="U485">
        <f t="shared" si="58"/>
        <v>2</v>
      </c>
      <c r="V485">
        <f t="shared" si="59"/>
        <v>3</v>
      </c>
      <c r="W485" s="4">
        <f t="shared" si="52"/>
        <v>1.5</v>
      </c>
      <c r="X485" s="4">
        <f t="shared" si="53"/>
        <v>75</v>
      </c>
      <c r="Z485">
        <f t="shared" si="56"/>
        <v>589</v>
      </c>
      <c r="AA485">
        <f t="shared" si="57"/>
        <v>0</v>
      </c>
    </row>
    <row r="486" spans="1:27" x14ac:dyDescent="0.2">
      <c r="A486">
        <v>3</v>
      </c>
      <c r="B486" t="s">
        <v>133</v>
      </c>
      <c r="C486">
        <v>11</v>
      </c>
      <c r="D486" t="s">
        <v>149</v>
      </c>
      <c r="E486" t="s">
        <v>135</v>
      </c>
      <c r="F486">
        <v>1</v>
      </c>
      <c r="G486" t="s">
        <v>863</v>
      </c>
      <c r="H486" t="s">
        <v>872</v>
      </c>
      <c r="I486" t="s">
        <v>136</v>
      </c>
      <c r="M486">
        <v>2</v>
      </c>
      <c r="S486">
        <v>2</v>
      </c>
      <c r="U486">
        <f t="shared" si="58"/>
        <v>2</v>
      </c>
      <c r="V486">
        <f t="shared" si="59"/>
        <v>4</v>
      </c>
      <c r="W486" s="4">
        <f t="shared" si="52"/>
        <v>2</v>
      </c>
      <c r="X486" s="4">
        <f t="shared" si="53"/>
        <v>100</v>
      </c>
      <c r="Y486" t="s">
        <v>873</v>
      </c>
      <c r="Z486">
        <f t="shared" si="56"/>
        <v>570</v>
      </c>
      <c r="AA486">
        <f t="shared" si="57"/>
        <v>0</v>
      </c>
    </row>
    <row r="487" spans="1:27" x14ac:dyDescent="0.2">
      <c r="A487">
        <v>3</v>
      </c>
      <c r="B487" t="s">
        <v>133</v>
      </c>
      <c r="C487">
        <v>11</v>
      </c>
      <c r="D487" t="s">
        <v>149</v>
      </c>
      <c r="E487" t="s">
        <v>135</v>
      </c>
      <c r="F487">
        <v>2</v>
      </c>
      <c r="G487" t="s">
        <v>863</v>
      </c>
      <c r="H487" t="s">
        <v>874</v>
      </c>
      <c r="I487" t="s">
        <v>136</v>
      </c>
      <c r="M487">
        <v>2</v>
      </c>
      <c r="S487">
        <v>2</v>
      </c>
      <c r="U487">
        <f t="shared" si="58"/>
        <v>2</v>
      </c>
      <c r="V487">
        <f t="shared" si="59"/>
        <v>4</v>
      </c>
      <c r="W487" s="4">
        <f t="shared" si="52"/>
        <v>2</v>
      </c>
      <c r="X487" s="4">
        <f t="shared" si="53"/>
        <v>100</v>
      </c>
      <c r="Z487">
        <f>LEN(H487)</f>
        <v>707</v>
      </c>
      <c r="AA487">
        <f t="shared" si="57"/>
        <v>0</v>
      </c>
    </row>
    <row r="488" spans="1:27" x14ac:dyDescent="0.2">
      <c r="A488">
        <v>3</v>
      </c>
      <c r="B488" t="s">
        <v>133</v>
      </c>
      <c r="C488">
        <v>11</v>
      </c>
      <c r="D488" t="s">
        <v>149</v>
      </c>
      <c r="E488" t="s">
        <v>135</v>
      </c>
      <c r="F488">
        <v>3</v>
      </c>
      <c r="G488" t="s">
        <v>863</v>
      </c>
      <c r="H488" t="s">
        <v>875</v>
      </c>
      <c r="I488" t="s">
        <v>136</v>
      </c>
      <c r="M488">
        <v>2</v>
      </c>
      <c r="S488">
        <v>2</v>
      </c>
      <c r="U488">
        <f t="shared" si="58"/>
        <v>2</v>
      </c>
      <c r="V488">
        <f t="shared" si="59"/>
        <v>4</v>
      </c>
      <c r="W488" s="4">
        <f t="shared" si="52"/>
        <v>2</v>
      </c>
      <c r="X488" s="4">
        <f t="shared" si="53"/>
        <v>100</v>
      </c>
      <c r="Z488">
        <f t="shared" si="56"/>
        <v>665</v>
      </c>
      <c r="AA488">
        <f t="shared" si="57"/>
        <v>0</v>
      </c>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0F5EA-F276-CE4D-8932-830947465BD4}">
  <dimension ref="A1:D29"/>
  <sheetViews>
    <sheetView workbookViewId="0">
      <selection activeCell="E26" sqref="E26"/>
    </sheetView>
  </sheetViews>
  <sheetFormatPr baseColWidth="10" defaultRowHeight="16" x14ac:dyDescent="0.2"/>
  <cols>
    <col min="1" max="1" width="25" bestFit="1" customWidth="1"/>
    <col min="2" max="2" width="11.33203125" bestFit="1" customWidth="1"/>
    <col min="3" max="4" width="4.6640625" bestFit="1" customWidth="1"/>
    <col min="5" max="5" width="10.5" bestFit="1" customWidth="1"/>
    <col min="6" max="6" width="24.1640625" bestFit="1" customWidth="1"/>
  </cols>
  <sheetData>
    <row r="1" spans="1:4" x14ac:dyDescent="0.2">
      <c r="A1" s="6" t="s">
        <v>876</v>
      </c>
      <c r="B1" s="6" t="s">
        <v>155</v>
      </c>
    </row>
    <row r="2" spans="1:4" x14ac:dyDescent="0.2">
      <c r="A2" s="6" t="s">
        <v>156</v>
      </c>
      <c r="B2" t="s">
        <v>877</v>
      </c>
      <c r="C2" t="s">
        <v>878</v>
      </c>
      <c r="D2" t="s">
        <v>879</v>
      </c>
    </row>
    <row r="3" spans="1:4" x14ac:dyDescent="0.2">
      <c r="A3" t="s">
        <v>117</v>
      </c>
      <c r="B3" s="4">
        <v>1.5873015873015874</v>
      </c>
      <c r="C3" s="4">
        <v>1.6190476190476191</v>
      </c>
      <c r="D3" s="4">
        <v>1.8333333333333335</v>
      </c>
    </row>
    <row r="4" spans="1:4" x14ac:dyDescent="0.2">
      <c r="A4" t="s">
        <v>121</v>
      </c>
      <c r="B4" s="4">
        <v>1.7978260869565219</v>
      </c>
      <c r="C4" s="4">
        <v>1.8020833333333333</v>
      </c>
      <c r="D4" s="4">
        <v>1.8519999999999999</v>
      </c>
    </row>
    <row r="5" spans="1:4" x14ac:dyDescent="0.2">
      <c r="A5" t="s">
        <v>125</v>
      </c>
      <c r="B5" s="4">
        <v>1.7101449275362319</v>
      </c>
      <c r="C5" s="4">
        <v>1.5066666666666666</v>
      </c>
      <c r="D5" s="4">
        <v>1.8765432098765431</v>
      </c>
    </row>
    <row r="6" spans="1:4" x14ac:dyDescent="0.2">
      <c r="A6" t="s">
        <v>129</v>
      </c>
      <c r="B6" s="4">
        <v>1.4269662921348314</v>
      </c>
      <c r="C6" s="4">
        <v>1.2724719101123596</v>
      </c>
      <c r="D6" s="4">
        <v>1.4213483146067416</v>
      </c>
    </row>
    <row r="7" spans="1:4" x14ac:dyDescent="0.2">
      <c r="A7" t="s">
        <v>133</v>
      </c>
      <c r="B7" s="4">
        <v>1.5</v>
      </c>
      <c r="C7" s="4">
        <v>1.5</v>
      </c>
      <c r="D7" s="4">
        <v>2</v>
      </c>
    </row>
    <row r="10" spans="1:4" x14ac:dyDescent="0.2">
      <c r="A10" s="6" t="s">
        <v>880</v>
      </c>
      <c r="B10" s="6" t="s">
        <v>155</v>
      </c>
    </row>
    <row r="11" spans="1:4" x14ac:dyDescent="0.2">
      <c r="A11" s="6" t="s">
        <v>156</v>
      </c>
      <c r="B11" t="s">
        <v>877</v>
      </c>
      <c r="C11" t="s">
        <v>881</v>
      </c>
      <c r="D11" t="s">
        <v>882</v>
      </c>
    </row>
    <row r="12" spans="1:4" x14ac:dyDescent="0.2">
      <c r="A12" t="s">
        <v>117</v>
      </c>
      <c r="B12" s="4">
        <v>0.54675570316348665</v>
      </c>
      <c r="C12" s="4">
        <v>0.54042898891851843</v>
      </c>
      <c r="D12" s="4">
        <v>0.44543540318737346</v>
      </c>
    </row>
    <row r="13" spans="1:4" x14ac:dyDescent="0.2">
      <c r="A13" t="s">
        <v>121</v>
      </c>
      <c r="B13" s="4">
        <v>0.30802828267044163</v>
      </c>
      <c r="C13" s="4">
        <v>0.38911247023547574</v>
      </c>
      <c r="D13" s="4">
        <v>0.33524866392972835</v>
      </c>
    </row>
    <row r="14" spans="1:4" x14ac:dyDescent="0.2">
      <c r="A14" t="s">
        <v>125</v>
      </c>
      <c r="B14" s="4">
        <v>0.35254268064682021</v>
      </c>
      <c r="C14" s="4">
        <v>0.73986985842606645</v>
      </c>
      <c r="D14" s="4">
        <v>0.24717460087457549</v>
      </c>
    </row>
    <row r="15" spans="1:4" x14ac:dyDescent="0.2">
      <c r="A15" t="s">
        <v>129</v>
      </c>
      <c r="B15" s="4">
        <v>0.52656995670605233</v>
      </c>
      <c r="C15" s="4">
        <v>0.52581166888327047</v>
      </c>
      <c r="D15" s="4">
        <v>0.45005603441843262</v>
      </c>
    </row>
    <row r="16" spans="1:4" x14ac:dyDescent="0.2">
      <c r="A16" t="s">
        <v>133</v>
      </c>
      <c r="B16" s="4">
        <v>0</v>
      </c>
      <c r="C16" s="4">
        <v>0</v>
      </c>
      <c r="D16" s="4">
        <v>0</v>
      </c>
    </row>
    <row r="25" spans="2:4" x14ac:dyDescent="0.2">
      <c r="B25" s="4"/>
      <c r="C25" s="4"/>
      <c r="D25" s="4"/>
    </row>
    <row r="26" spans="2:4" x14ac:dyDescent="0.2">
      <c r="B26" s="4"/>
      <c r="C26" s="4"/>
      <c r="D26" s="4"/>
    </row>
    <row r="27" spans="2:4" x14ac:dyDescent="0.2">
      <c r="B27" s="4"/>
      <c r="C27" s="4"/>
      <c r="D27" s="4"/>
    </row>
    <row r="28" spans="2:4" x14ac:dyDescent="0.2">
      <c r="B28" s="4"/>
      <c r="C28" s="4"/>
      <c r="D28" s="4"/>
    </row>
    <row r="29" spans="2:4" x14ac:dyDescent="0.2">
      <c r="B29" s="4"/>
      <c r="C29" s="4"/>
      <c r="D29" s="4"/>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097A6-ABCE-964C-B8A9-ABA62A01E3A2}">
  <dimension ref="A1:H5"/>
  <sheetViews>
    <sheetView workbookViewId="0">
      <selection activeCell="C15" sqref="C15"/>
    </sheetView>
  </sheetViews>
  <sheetFormatPr baseColWidth="10" defaultRowHeight="16" x14ac:dyDescent="0.2"/>
  <cols>
    <col min="1" max="1" width="11.33203125" bestFit="1" customWidth="1"/>
    <col min="2" max="2" width="18" bestFit="1" customWidth="1"/>
    <col min="3" max="6" width="4.6640625" bestFit="1" customWidth="1"/>
    <col min="7" max="11" width="27.5" bestFit="1" customWidth="1"/>
  </cols>
  <sheetData>
    <row r="1" spans="1:8" x14ac:dyDescent="0.2">
      <c r="A1" s="6" t="s">
        <v>155</v>
      </c>
      <c r="B1" t="s">
        <v>885</v>
      </c>
    </row>
    <row r="2" spans="1:8" x14ac:dyDescent="0.2">
      <c r="A2" t="s">
        <v>877</v>
      </c>
      <c r="B2" s="4">
        <v>9.4339622641509441E-2</v>
      </c>
      <c r="H2" s="2"/>
    </row>
    <row r="3" spans="1:8" x14ac:dyDescent="0.2">
      <c r="A3" t="s">
        <v>878</v>
      </c>
      <c r="B3" s="4">
        <v>0.10493827160493827</v>
      </c>
      <c r="H3" s="4"/>
    </row>
    <row r="4" spans="1:8" x14ac:dyDescent="0.2">
      <c r="A4" t="s">
        <v>879</v>
      </c>
      <c r="B4" s="4">
        <v>3.0120481927710843E-2</v>
      </c>
      <c r="H4" s="4"/>
    </row>
    <row r="5" spans="1:8" x14ac:dyDescent="0.2">
      <c r="H5" s="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86228-B2A6-1B4C-8360-2ED4A0909838}">
  <dimension ref="A1:E488"/>
  <sheetViews>
    <sheetView workbookViewId="0">
      <selection sqref="A1:XFD1048576"/>
    </sheetView>
  </sheetViews>
  <sheetFormatPr baseColWidth="10" defaultRowHeight="16" x14ac:dyDescent="0.2"/>
  <sheetData>
    <row r="1" spans="1:5" x14ac:dyDescent="0.2">
      <c r="A1" s="6" t="s">
        <v>876</v>
      </c>
      <c r="B1" s="6" t="s">
        <v>155</v>
      </c>
    </row>
    <row r="2" spans="1:5" x14ac:dyDescent="0.2">
      <c r="A2" s="6" t="s">
        <v>156</v>
      </c>
      <c r="B2">
        <v>1</v>
      </c>
      <c r="C2">
        <v>2</v>
      </c>
      <c r="D2">
        <v>3</v>
      </c>
      <c r="E2" s="2" t="s">
        <v>883</v>
      </c>
    </row>
    <row r="3" spans="1:5" x14ac:dyDescent="0.2">
      <c r="A3" t="s">
        <v>117</v>
      </c>
      <c r="B3" s="4">
        <v>1.5873015873015874</v>
      </c>
      <c r="C3" s="4">
        <v>1.6190476190476191</v>
      </c>
      <c r="D3" s="4">
        <v>1.8333333333333335</v>
      </c>
      <c r="E3" s="4">
        <f>(D3-B3)</f>
        <v>0.24603174603174605</v>
      </c>
    </row>
    <row r="4" spans="1:5" x14ac:dyDescent="0.2">
      <c r="A4" t="s">
        <v>121</v>
      </c>
      <c r="B4" s="4">
        <v>1.7978260869565219</v>
      </c>
      <c r="C4" s="4">
        <v>1.8020833333333333</v>
      </c>
      <c r="D4" s="4">
        <v>1.8519999999999999</v>
      </c>
      <c r="E4" s="4">
        <f>(D4-B4)</f>
        <v>5.4173913043477961E-2</v>
      </c>
    </row>
    <row r="5" spans="1:5" x14ac:dyDescent="0.2">
      <c r="A5" t="s">
        <v>125</v>
      </c>
      <c r="B5" s="4">
        <v>1.7101449275362319</v>
      </c>
      <c r="C5" s="4">
        <v>1.5066666666666666</v>
      </c>
      <c r="D5" s="4">
        <v>1.8765432098765431</v>
      </c>
      <c r="E5" s="4">
        <f>(D5-B5)</f>
        <v>0.16639828234031118</v>
      </c>
    </row>
    <row r="6" spans="1:5" x14ac:dyDescent="0.2">
      <c r="A6" t="s">
        <v>129</v>
      </c>
      <c r="B6" s="4">
        <v>1.4269662921348314</v>
      </c>
      <c r="C6" s="4">
        <v>1.2724719101123596</v>
      </c>
      <c r="D6" s="4">
        <v>1.4213483146067416</v>
      </c>
      <c r="E6" s="4">
        <f>(D6-B6)</f>
        <v>-5.6179775280897903E-3</v>
      </c>
    </row>
    <row r="7" spans="1:5" x14ac:dyDescent="0.2">
      <c r="A7" t="s">
        <v>133</v>
      </c>
      <c r="B7" s="4">
        <v>1.5</v>
      </c>
      <c r="C7" s="4">
        <v>1.5</v>
      </c>
      <c r="D7" s="4">
        <v>2</v>
      </c>
      <c r="E7" s="4">
        <f>(D7-B7)</f>
        <v>0.5</v>
      </c>
    </row>
    <row r="8" spans="1:5" x14ac:dyDescent="0.2">
      <c r="C8" s="4"/>
    </row>
    <row r="9" spans="1:5" x14ac:dyDescent="0.2">
      <c r="C9" s="4"/>
    </row>
    <row r="10" spans="1:5" x14ac:dyDescent="0.2">
      <c r="C10" s="4"/>
    </row>
    <row r="11" spans="1:5" x14ac:dyDescent="0.2">
      <c r="A11" t="s">
        <v>156</v>
      </c>
      <c r="B11" s="2" t="s">
        <v>883</v>
      </c>
      <c r="C11" t="s">
        <v>884</v>
      </c>
    </row>
    <row r="12" spans="1:5" x14ac:dyDescent="0.2">
      <c r="A12" t="s">
        <v>117</v>
      </c>
      <c r="B12" s="4">
        <f>(D3-B3)</f>
        <v>0.24603174603174605</v>
      </c>
      <c r="C12" s="7">
        <v>0</v>
      </c>
      <c r="D12" s="4"/>
    </row>
    <row r="13" spans="1:5" x14ac:dyDescent="0.2">
      <c r="A13" t="s">
        <v>121</v>
      </c>
      <c r="B13" s="4">
        <f>(D4-B4)</f>
        <v>5.4173913043477961E-2</v>
      </c>
      <c r="C13" s="7">
        <v>0</v>
      </c>
      <c r="D13" s="4"/>
    </row>
    <row r="14" spans="1:5" x14ac:dyDescent="0.2">
      <c r="A14" t="s">
        <v>125</v>
      </c>
      <c r="B14" s="4">
        <f>(D5-B5)</f>
        <v>0.16639828234031118</v>
      </c>
      <c r="C14" s="7">
        <v>0</v>
      </c>
      <c r="D14" s="4"/>
    </row>
    <row r="15" spans="1:5" x14ac:dyDescent="0.2">
      <c r="A15" t="s">
        <v>129</v>
      </c>
      <c r="B15" s="4">
        <f>(D6-B6)</f>
        <v>-5.6179775280897903E-3</v>
      </c>
      <c r="C15" s="7">
        <v>0</v>
      </c>
      <c r="D15" s="4"/>
    </row>
    <row r="16" spans="1:5" x14ac:dyDescent="0.2">
      <c r="A16" t="s">
        <v>133</v>
      </c>
      <c r="B16" s="4">
        <f>(D7-B7)</f>
        <v>0.5</v>
      </c>
      <c r="C16" s="7">
        <v>0</v>
      </c>
      <c r="D16" s="4"/>
    </row>
    <row r="17" spans="3:3" x14ac:dyDescent="0.2">
      <c r="C17" s="4"/>
    </row>
    <row r="18" spans="3:3" x14ac:dyDescent="0.2">
      <c r="C18" s="4"/>
    </row>
    <row r="19" spans="3:3" x14ac:dyDescent="0.2">
      <c r="C19" s="4"/>
    </row>
    <row r="20" spans="3:3" x14ac:dyDescent="0.2">
      <c r="C20" s="4"/>
    </row>
    <row r="21" spans="3:3" x14ac:dyDescent="0.2">
      <c r="C21" s="4"/>
    </row>
    <row r="22" spans="3:3" x14ac:dyDescent="0.2">
      <c r="C22" s="4"/>
    </row>
    <row r="23" spans="3:3" x14ac:dyDescent="0.2">
      <c r="C23" s="4"/>
    </row>
    <row r="24" spans="3:3" x14ac:dyDescent="0.2">
      <c r="C24" s="4"/>
    </row>
    <row r="25" spans="3:3" x14ac:dyDescent="0.2">
      <c r="C25" s="4"/>
    </row>
    <row r="26" spans="3:3" x14ac:dyDescent="0.2">
      <c r="C26" s="4"/>
    </row>
    <row r="27" spans="3:3" x14ac:dyDescent="0.2">
      <c r="C27" s="4"/>
    </row>
    <row r="28" spans="3:3" x14ac:dyDescent="0.2">
      <c r="C28" s="4"/>
    </row>
    <row r="29" spans="3:3" x14ac:dyDescent="0.2">
      <c r="C29" s="4"/>
    </row>
    <row r="30" spans="3:3" x14ac:dyDescent="0.2">
      <c r="C30" s="4"/>
    </row>
    <row r="31" spans="3:3" x14ac:dyDescent="0.2">
      <c r="C31" s="4"/>
    </row>
    <row r="32" spans="3:3" x14ac:dyDescent="0.2">
      <c r="C32" s="4"/>
    </row>
    <row r="33" spans="3:3" x14ac:dyDescent="0.2">
      <c r="C33" s="4"/>
    </row>
    <row r="34" spans="3:3" x14ac:dyDescent="0.2">
      <c r="C34" s="4"/>
    </row>
    <row r="35" spans="3:3" x14ac:dyDescent="0.2">
      <c r="C35" s="4"/>
    </row>
    <row r="36" spans="3:3" x14ac:dyDescent="0.2">
      <c r="C36" s="4"/>
    </row>
    <row r="37" spans="3:3" x14ac:dyDescent="0.2">
      <c r="C37" s="4"/>
    </row>
    <row r="38" spans="3:3" x14ac:dyDescent="0.2">
      <c r="C38" s="4"/>
    </row>
    <row r="39" spans="3:3" x14ac:dyDescent="0.2">
      <c r="C39" s="4"/>
    </row>
    <row r="40" spans="3:3" x14ac:dyDescent="0.2">
      <c r="C40" s="4"/>
    </row>
    <row r="41" spans="3:3" x14ac:dyDescent="0.2">
      <c r="C41" s="4"/>
    </row>
    <row r="42" spans="3:3" x14ac:dyDescent="0.2">
      <c r="C42" s="4"/>
    </row>
    <row r="43" spans="3:3" x14ac:dyDescent="0.2">
      <c r="C43" s="4"/>
    </row>
    <row r="44" spans="3:3" x14ac:dyDescent="0.2">
      <c r="C44" s="4"/>
    </row>
    <row r="45" spans="3:3" x14ac:dyDescent="0.2">
      <c r="C45" s="4"/>
    </row>
    <row r="46" spans="3:3" x14ac:dyDescent="0.2">
      <c r="C46" s="4"/>
    </row>
    <row r="47" spans="3:3" x14ac:dyDescent="0.2">
      <c r="C47" s="4"/>
    </row>
    <row r="48" spans="3:3" x14ac:dyDescent="0.2">
      <c r="C48" s="4"/>
    </row>
    <row r="49" spans="3:3" x14ac:dyDescent="0.2">
      <c r="C49" s="4"/>
    </row>
    <row r="50" spans="3:3" x14ac:dyDescent="0.2">
      <c r="C50" s="4"/>
    </row>
    <row r="51" spans="3:3" x14ac:dyDescent="0.2">
      <c r="C51" s="4"/>
    </row>
    <row r="52" spans="3:3" x14ac:dyDescent="0.2">
      <c r="C52" s="4"/>
    </row>
    <row r="53" spans="3:3" x14ac:dyDescent="0.2">
      <c r="C53" s="4"/>
    </row>
    <row r="54" spans="3:3" x14ac:dyDescent="0.2">
      <c r="C54" s="4"/>
    </row>
    <row r="55" spans="3:3" x14ac:dyDescent="0.2">
      <c r="C55" s="4"/>
    </row>
    <row r="56" spans="3:3" x14ac:dyDescent="0.2">
      <c r="C56" s="4"/>
    </row>
    <row r="57" spans="3:3" x14ac:dyDescent="0.2">
      <c r="C57" s="4"/>
    </row>
    <row r="58" spans="3:3" x14ac:dyDescent="0.2">
      <c r="C58" s="4"/>
    </row>
    <row r="59" spans="3:3" x14ac:dyDescent="0.2">
      <c r="C59" s="4"/>
    </row>
    <row r="60" spans="3:3" x14ac:dyDescent="0.2">
      <c r="C60" s="4"/>
    </row>
    <row r="61" spans="3:3" x14ac:dyDescent="0.2">
      <c r="C61" s="4"/>
    </row>
    <row r="62" spans="3:3" x14ac:dyDescent="0.2">
      <c r="C62" s="4"/>
    </row>
    <row r="63" spans="3:3" x14ac:dyDescent="0.2">
      <c r="C63" s="4"/>
    </row>
    <row r="64" spans="3:3" x14ac:dyDescent="0.2">
      <c r="C64" s="4"/>
    </row>
    <row r="65" spans="3:3" x14ac:dyDescent="0.2">
      <c r="C65" s="4"/>
    </row>
    <row r="66" spans="3:3" x14ac:dyDescent="0.2">
      <c r="C66" s="4"/>
    </row>
    <row r="67" spans="3:3" x14ac:dyDescent="0.2">
      <c r="C67" s="4"/>
    </row>
    <row r="68" spans="3:3" x14ac:dyDescent="0.2">
      <c r="C68" s="4"/>
    </row>
    <row r="69" spans="3:3" x14ac:dyDescent="0.2">
      <c r="C69" s="4"/>
    </row>
    <row r="70" spans="3:3" x14ac:dyDescent="0.2">
      <c r="C70" s="4"/>
    </row>
    <row r="71" spans="3:3" x14ac:dyDescent="0.2">
      <c r="C71" s="4"/>
    </row>
    <row r="72" spans="3:3" x14ac:dyDescent="0.2">
      <c r="C72" s="4"/>
    </row>
    <row r="73" spans="3:3" x14ac:dyDescent="0.2">
      <c r="C73" s="4"/>
    </row>
    <row r="74" spans="3:3" x14ac:dyDescent="0.2">
      <c r="C74" s="4"/>
    </row>
    <row r="75" spans="3:3" x14ac:dyDescent="0.2">
      <c r="C75" s="4"/>
    </row>
    <row r="76" spans="3:3" x14ac:dyDescent="0.2">
      <c r="C76" s="4"/>
    </row>
    <row r="77" spans="3:3" x14ac:dyDescent="0.2">
      <c r="C77" s="4"/>
    </row>
    <row r="78" spans="3:3" x14ac:dyDescent="0.2">
      <c r="C78" s="4"/>
    </row>
    <row r="79" spans="3:3" x14ac:dyDescent="0.2">
      <c r="C79" s="4"/>
    </row>
    <row r="80" spans="3:3" x14ac:dyDescent="0.2">
      <c r="C80" s="4"/>
    </row>
    <row r="81" spans="3:3" x14ac:dyDescent="0.2">
      <c r="C81" s="4"/>
    </row>
    <row r="82" spans="3:3" x14ac:dyDescent="0.2">
      <c r="C82" s="4"/>
    </row>
    <row r="83" spans="3:3" x14ac:dyDescent="0.2">
      <c r="C83" s="4"/>
    </row>
    <row r="84" spans="3:3" x14ac:dyDescent="0.2">
      <c r="C84" s="4"/>
    </row>
    <row r="85" spans="3:3" x14ac:dyDescent="0.2">
      <c r="C85" s="4"/>
    </row>
    <row r="86" spans="3:3" x14ac:dyDescent="0.2">
      <c r="C86" s="4"/>
    </row>
    <row r="87" spans="3:3" x14ac:dyDescent="0.2">
      <c r="C87" s="4"/>
    </row>
    <row r="88" spans="3:3" x14ac:dyDescent="0.2">
      <c r="C88" s="4"/>
    </row>
    <row r="89" spans="3:3" x14ac:dyDescent="0.2">
      <c r="C89" s="4"/>
    </row>
    <row r="90" spans="3:3" x14ac:dyDescent="0.2">
      <c r="C90" s="4"/>
    </row>
    <row r="91" spans="3:3" x14ac:dyDescent="0.2">
      <c r="C91" s="4"/>
    </row>
    <row r="92" spans="3:3" x14ac:dyDescent="0.2">
      <c r="C92" s="4"/>
    </row>
    <row r="93" spans="3:3" x14ac:dyDescent="0.2">
      <c r="C93" s="4"/>
    </row>
    <row r="94" spans="3:3" x14ac:dyDescent="0.2">
      <c r="C94" s="4"/>
    </row>
    <row r="95" spans="3:3" x14ac:dyDescent="0.2">
      <c r="C95" s="4"/>
    </row>
    <row r="96" spans="3:3" x14ac:dyDescent="0.2">
      <c r="C96" s="4"/>
    </row>
    <row r="97" spans="3:3" x14ac:dyDescent="0.2">
      <c r="C97" s="4"/>
    </row>
    <row r="98" spans="3:3" x14ac:dyDescent="0.2">
      <c r="C98" s="4"/>
    </row>
    <row r="99" spans="3:3" x14ac:dyDescent="0.2">
      <c r="C99" s="4"/>
    </row>
    <row r="100" spans="3:3" x14ac:dyDescent="0.2">
      <c r="C100" s="4"/>
    </row>
    <row r="101" spans="3:3" x14ac:dyDescent="0.2">
      <c r="C101" s="4"/>
    </row>
    <row r="102" spans="3:3" x14ac:dyDescent="0.2">
      <c r="C102" s="4"/>
    </row>
    <row r="103" spans="3:3" x14ac:dyDescent="0.2">
      <c r="C103" s="4"/>
    </row>
    <row r="104" spans="3:3" x14ac:dyDescent="0.2">
      <c r="C104" s="4"/>
    </row>
    <row r="105" spans="3:3" x14ac:dyDescent="0.2">
      <c r="C105" s="4"/>
    </row>
    <row r="106" spans="3:3" x14ac:dyDescent="0.2">
      <c r="C106" s="4"/>
    </row>
    <row r="107" spans="3:3" x14ac:dyDescent="0.2">
      <c r="C107" s="4"/>
    </row>
    <row r="108" spans="3:3" x14ac:dyDescent="0.2">
      <c r="C108" s="4"/>
    </row>
    <row r="109" spans="3:3" x14ac:dyDescent="0.2">
      <c r="C109" s="4"/>
    </row>
    <row r="110" spans="3:3" x14ac:dyDescent="0.2">
      <c r="C110" s="4"/>
    </row>
    <row r="111" spans="3:3" x14ac:dyDescent="0.2">
      <c r="C111" s="4"/>
    </row>
    <row r="112" spans="3:3" x14ac:dyDescent="0.2">
      <c r="C112" s="4"/>
    </row>
    <row r="113" spans="3:3" x14ac:dyDescent="0.2">
      <c r="C113" s="4"/>
    </row>
    <row r="114" spans="3:3" x14ac:dyDescent="0.2">
      <c r="C114" s="4"/>
    </row>
    <row r="115" spans="3:3" x14ac:dyDescent="0.2">
      <c r="C115" s="4"/>
    </row>
    <row r="116" spans="3:3" x14ac:dyDescent="0.2">
      <c r="C116" s="4"/>
    </row>
    <row r="117" spans="3:3" x14ac:dyDescent="0.2">
      <c r="C117" s="4"/>
    </row>
    <row r="118" spans="3:3" x14ac:dyDescent="0.2">
      <c r="C118" s="4"/>
    </row>
    <row r="119" spans="3:3" x14ac:dyDescent="0.2">
      <c r="C119" s="4"/>
    </row>
    <row r="120" spans="3:3" x14ac:dyDescent="0.2">
      <c r="C120" s="4"/>
    </row>
    <row r="121" spans="3:3" x14ac:dyDescent="0.2">
      <c r="C121" s="4"/>
    </row>
    <row r="122" spans="3:3" x14ac:dyDescent="0.2">
      <c r="C122" s="4"/>
    </row>
    <row r="123" spans="3:3" x14ac:dyDescent="0.2">
      <c r="C123" s="4"/>
    </row>
    <row r="124" spans="3:3" x14ac:dyDescent="0.2">
      <c r="C124" s="4"/>
    </row>
    <row r="125" spans="3:3" x14ac:dyDescent="0.2">
      <c r="C125" s="4"/>
    </row>
    <row r="126" spans="3:3" x14ac:dyDescent="0.2">
      <c r="C126" s="4"/>
    </row>
    <row r="127" spans="3:3" x14ac:dyDescent="0.2">
      <c r="C127" s="4"/>
    </row>
    <row r="128" spans="3:3" x14ac:dyDescent="0.2">
      <c r="C128" s="4"/>
    </row>
    <row r="129" spans="3:3" x14ac:dyDescent="0.2">
      <c r="C129" s="4"/>
    </row>
    <row r="130" spans="3:3" x14ac:dyDescent="0.2">
      <c r="C130" s="4"/>
    </row>
    <row r="131" spans="3:3" x14ac:dyDescent="0.2">
      <c r="C131" s="4"/>
    </row>
    <row r="132" spans="3:3" x14ac:dyDescent="0.2">
      <c r="C132" s="4"/>
    </row>
    <row r="133" spans="3:3" x14ac:dyDescent="0.2">
      <c r="C133" s="4"/>
    </row>
    <row r="134" spans="3:3" x14ac:dyDescent="0.2">
      <c r="C134" s="4"/>
    </row>
    <row r="135" spans="3:3" x14ac:dyDescent="0.2">
      <c r="C135" s="4"/>
    </row>
    <row r="136" spans="3:3" x14ac:dyDescent="0.2">
      <c r="C136" s="4"/>
    </row>
    <row r="137" spans="3:3" x14ac:dyDescent="0.2">
      <c r="C137" s="4"/>
    </row>
    <row r="138" spans="3:3" x14ac:dyDescent="0.2">
      <c r="C138" s="4"/>
    </row>
    <row r="139" spans="3:3" x14ac:dyDescent="0.2">
      <c r="C139" s="4"/>
    </row>
    <row r="140" spans="3:3" x14ac:dyDescent="0.2">
      <c r="C140" s="4"/>
    </row>
    <row r="141" spans="3:3" x14ac:dyDescent="0.2">
      <c r="C141" s="4"/>
    </row>
    <row r="142" spans="3:3" x14ac:dyDescent="0.2">
      <c r="C142" s="4"/>
    </row>
    <row r="143" spans="3:3" x14ac:dyDescent="0.2">
      <c r="C143" s="4"/>
    </row>
    <row r="144" spans="3:3" x14ac:dyDescent="0.2">
      <c r="C144" s="4"/>
    </row>
    <row r="145" spans="3:3" x14ac:dyDescent="0.2">
      <c r="C145" s="4"/>
    </row>
    <row r="146" spans="3:3" x14ac:dyDescent="0.2">
      <c r="C146" s="4"/>
    </row>
    <row r="147" spans="3:3" x14ac:dyDescent="0.2">
      <c r="C147" s="4"/>
    </row>
    <row r="148" spans="3:3" x14ac:dyDescent="0.2">
      <c r="C148" s="4"/>
    </row>
    <row r="149" spans="3:3" x14ac:dyDescent="0.2">
      <c r="C149" s="4"/>
    </row>
    <row r="150" spans="3:3" x14ac:dyDescent="0.2">
      <c r="C150" s="4"/>
    </row>
    <row r="151" spans="3:3" x14ac:dyDescent="0.2">
      <c r="C151" s="4"/>
    </row>
    <row r="152" spans="3:3" x14ac:dyDescent="0.2">
      <c r="C152" s="4"/>
    </row>
    <row r="153" spans="3:3" x14ac:dyDescent="0.2">
      <c r="C153" s="4"/>
    </row>
    <row r="154" spans="3:3" x14ac:dyDescent="0.2">
      <c r="C154" s="4"/>
    </row>
    <row r="155" spans="3:3" x14ac:dyDescent="0.2">
      <c r="C155" s="4"/>
    </row>
    <row r="156" spans="3:3" x14ac:dyDescent="0.2">
      <c r="C156" s="4"/>
    </row>
    <row r="157" spans="3:3" x14ac:dyDescent="0.2">
      <c r="C157" s="4"/>
    </row>
    <row r="158" spans="3:3" x14ac:dyDescent="0.2">
      <c r="C158" s="4"/>
    </row>
    <row r="159" spans="3:3" x14ac:dyDescent="0.2">
      <c r="C159" s="4"/>
    </row>
    <row r="160" spans="3:3" x14ac:dyDescent="0.2">
      <c r="C160" s="4"/>
    </row>
    <row r="161" spans="3:3" x14ac:dyDescent="0.2">
      <c r="C161" s="4"/>
    </row>
    <row r="162" spans="3:3" x14ac:dyDescent="0.2">
      <c r="C162" s="4"/>
    </row>
    <row r="163" spans="3:3" x14ac:dyDescent="0.2">
      <c r="C163" s="4"/>
    </row>
    <row r="164" spans="3:3" x14ac:dyDescent="0.2">
      <c r="C164" s="4"/>
    </row>
    <row r="165" spans="3:3" x14ac:dyDescent="0.2">
      <c r="C165" s="4"/>
    </row>
    <row r="166" spans="3:3" x14ac:dyDescent="0.2">
      <c r="C166" s="4"/>
    </row>
    <row r="167" spans="3:3" x14ac:dyDescent="0.2">
      <c r="C167" s="4"/>
    </row>
    <row r="168" spans="3:3" x14ac:dyDescent="0.2">
      <c r="C168" s="4"/>
    </row>
    <row r="169" spans="3:3" x14ac:dyDescent="0.2">
      <c r="C169" s="4"/>
    </row>
    <row r="170" spans="3:3" x14ac:dyDescent="0.2">
      <c r="C170" s="4"/>
    </row>
    <row r="171" spans="3:3" x14ac:dyDescent="0.2">
      <c r="C171" s="4"/>
    </row>
    <row r="172" spans="3:3" x14ac:dyDescent="0.2">
      <c r="C172" s="4"/>
    </row>
    <row r="173" spans="3:3" x14ac:dyDescent="0.2">
      <c r="C173" s="4"/>
    </row>
    <row r="174" spans="3:3" x14ac:dyDescent="0.2">
      <c r="C174" s="4"/>
    </row>
    <row r="175" spans="3:3" x14ac:dyDescent="0.2">
      <c r="C175" s="4"/>
    </row>
    <row r="176" spans="3:3" x14ac:dyDescent="0.2">
      <c r="C176" s="4"/>
    </row>
    <row r="177" spans="3:3" x14ac:dyDescent="0.2">
      <c r="C177" s="4"/>
    </row>
    <row r="178" spans="3:3" x14ac:dyDescent="0.2">
      <c r="C178" s="4"/>
    </row>
    <row r="179" spans="3:3" x14ac:dyDescent="0.2">
      <c r="C179" s="4"/>
    </row>
    <row r="180" spans="3:3" x14ac:dyDescent="0.2">
      <c r="C180" s="4"/>
    </row>
    <row r="181" spans="3:3" x14ac:dyDescent="0.2">
      <c r="C181" s="4"/>
    </row>
    <row r="182" spans="3:3" x14ac:dyDescent="0.2">
      <c r="C182" s="4"/>
    </row>
    <row r="183" spans="3:3" x14ac:dyDescent="0.2">
      <c r="C183" s="4"/>
    </row>
    <row r="184" spans="3:3" x14ac:dyDescent="0.2">
      <c r="C184" s="4"/>
    </row>
    <row r="185" spans="3:3" x14ac:dyDescent="0.2">
      <c r="C185" s="4"/>
    </row>
    <row r="186" spans="3:3" x14ac:dyDescent="0.2">
      <c r="C186" s="4"/>
    </row>
    <row r="187" spans="3:3" x14ac:dyDescent="0.2">
      <c r="C187" s="4"/>
    </row>
    <row r="188" spans="3:3" x14ac:dyDescent="0.2">
      <c r="C188" s="4"/>
    </row>
    <row r="189" spans="3:3" x14ac:dyDescent="0.2">
      <c r="C189" s="4"/>
    </row>
    <row r="190" spans="3:3" x14ac:dyDescent="0.2">
      <c r="C190" s="4"/>
    </row>
    <row r="191" spans="3:3" x14ac:dyDescent="0.2">
      <c r="C191" s="4"/>
    </row>
    <row r="192" spans="3:3" x14ac:dyDescent="0.2">
      <c r="C192" s="4"/>
    </row>
    <row r="193" spans="3:3" x14ac:dyDescent="0.2">
      <c r="C193" s="4"/>
    </row>
    <row r="194" spans="3:3" x14ac:dyDescent="0.2">
      <c r="C194" s="4"/>
    </row>
    <row r="195" spans="3:3" x14ac:dyDescent="0.2">
      <c r="C195" s="4"/>
    </row>
    <row r="196" spans="3:3" x14ac:dyDescent="0.2">
      <c r="C196" s="4"/>
    </row>
    <row r="197" spans="3:3" x14ac:dyDescent="0.2">
      <c r="C197" s="4"/>
    </row>
    <row r="198" spans="3:3" x14ac:dyDescent="0.2">
      <c r="C198" s="4"/>
    </row>
    <row r="199" spans="3:3" x14ac:dyDescent="0.2">
      <c r="C199" s="4"/>
    </row>
    <row r="200" spans="3:3" x14ac:dyDescent="0.2">
      <c r="C200" s="4"/>
    </row>
    <row r="201" spans="3:3" x14ac:dyDescent="0.2">
      <c r="C201" s="4"/>
    </row>
    <row r="202" spans="3:3" x14ac:dyDescent="0.2">
      <c r="C202" s="4"/>
    </row>
    <row r="203" spans="3:3" x14ac:dyDescent="0.2">
      <c r="C203" s="4"/>
    </row>
    <row r="204" spans="3:3" x14ac:dyDescent="0.2">
      <c r="C204" s="4"/>
    </row>
    <row r="205" spans="3:3" x14ac:dyDescent="0.2">
      <c r="C205" s="4"/>
    </row>
    <row r="206" spans="3:3" x14ac:dyDescent="0.2">
      <c r="C206" s="4"/>
    </row>
    <row r="207" spans="3:3" x14ac:dyDescent="0.2">
      <c r="C207" s="4"/>
    </row>
    <row r="208" spans="3:3" x14ac:dyDescent="0.2">
      <c r="C208" s="4"/>
    </row>
    <row r="209" spans="3:3" x14ac:dyDescent="0.2">
      <c r="C209" s="4"/>
    </row>
    <row r="210" spans="3:3" x14ac:dyDescent="0.2">
      <c r="C210" s="4"/>
    </row>
    <row r="211" spans="3:3" x14ac:dyDescent="0.2">
      <c r="C211" s="4"/>
    </row>
    <row r="212" spans="3:3" x14ac:dyDescent="0.2">
      <c r="C212" s="4"/>
    </row>
    <row r="213" spans="3:3" x14ac:dyDescent="0.2">
      <c r="C213" s="4"/>
    </row>
    <row r="214" spans="3:3" x14ac:dyDescent="0.2">
      <c r="C214" s="4"/>
    </row>
    <row r="215" spans="3:3" x14ac:dyDescent="0.2">
      <c r="C215" s="4"/>
    </row>
    <row r="216" spans="3:3" x14ac:dyDescent="0.2">
      <c r="C216" s="4"/>
    </row>
    <row r="217" spans="3:3" x14ac:dyDescent="0.2">
      <c r="C217" s="4"/>
    </row>
    <row r="218" spans="3:3" x14ac:dyDescent="0.2">
      <c r="C218" s="4"/>
    </row>
    <row r="219" spans="3:3" x14ac:dyDescent="0.2">
      <c r="C219" s="4"/>
    </row>
    <row r="220" spans="3:3" x14ac:dyDescent="0.2">
      <c r="C220" s="4"/>
    </row>
    <row r="221" spans="3:3" x14ac:dyDescent="0.2">
      <c r="C221" s="4"/>
    </row>
    <row r="222" spans="3:3" x14ac:dyDescent="0.2">
      <c r="C222" s="4"/>
    </row>
    <row r="223" spans="3:3" x14ac:dyDescent="0.2">
      <c r="C223" s="4"/>
    </row>
    <row r="224" spans="3:3" x14ac:dyDescent="0.2">
      <c r="C224" s="4"/>
    </row>
    <row r="225" spans="3:3" x14ac:dyDescent="0.2">
      <c r="C225" s="4"/>
    </row>
    <row r="226" spans="3:3" x14ac:dyDescent="0.2">
      <c r="C226" s="4"/>
    </row>
    <row r="227" spans="3:3" x14ac:dyDescent="0.2">
      <c r="C227" s="4"/>
    </row>
    <row r="228" spans="3:3" x14ac:dyDescent="0.2">
      <c r="C228" s="4"/>
    </row>
    <row r="229" spans="3:3" x14ac:dyDescent="0.2">
      <c r="C229" s="4"/>
    </row>
    <row r="230" spans="3:3" x14ac:dyDescent="0.2">
      <c r="C230" s="4"/>
    </row>
    <row r="231" spans="3:3" x14ac:dyDescent="0.2">
      <c r="C231" s="4"/>
    </row>
    <row r="232" spans="3:3" x14ac:dyDescent="0.2">
      <c r="C232" s="4"/>
    </row>
    <row r="233" spans="3:3" x14ac:dyDescent="0.2">
      <c r="C233" s="4"/>
    </row>
    <row r="234" spans="3:3" x14ac:dyDescent="0.2">
      <c r="C234" s="4"/>
    </row>
    <row r="235" spans="3:3" x14ac:dyDescent="0.2">
      <c r="C235" s="4"/>
    </row>
    <row r="236" spans="3:3" x14ac:dyDescent="0.2">
      <c r="C236" s="4"/>
    </row>
    <row r="237" spans="3:3" x14ac:dyDescent="0.2">
      <c r="C237" s="4"/>
    </row>
    <row r="238" spans="3:3" x14ac:dyDescent="0.2">
      <c r="C238" s="4"/>
    </row>
    <row r="239" spans="3:3" x14ac:dyDescent="0.2">
      <c r="C239" s="4"/>
    </row>
    <row r="240" spans="3:3" x14ac:dyDescent="0.2">
      <c r="C240" s="4"/>
    </row>
    <row r="241" spans="3:3" x14ac:dyDescent="0.2">
      <c r="C241" s="4"/>
    </row>
    <row r="242" spans="3:3" x14ac:dyDescent="0.2">
      <c r="C242" s="4"/>
    </row>
    <row r="243" spans="3:3" x14ac:dyDescent="0.2">
      <c r="C243" s="4"/>
    </row>
    <row r="244" spans="3:3" x14ac:dyDescent="0.2">
      <c r="C244" s="4"/>
    </row>
    <row r="245" spans="3:3" x14ac:dyDescent="0.2">
      <c r="C245" s="4"/>
    </row>
    <row r="246" spans="3:3" x14ac:dyDescent="0.2">
      <c r="C246" s="4"/>
    </row>
    <row r="247" spans="3:3" x14ac:dyDescent="0.2">
      <c r="C247" s="4"/>
    </row>
    <row r="248" spans="3:3" x14ac:dyDescent="0.2">
      <c r="C248" s="4"/>
    </row>
    <row r="249" spans="3:3" x14ac:dyDescent="0.2">
      <c r="C249" s="4"/>
    </row>
    <row r="250" spans="3:3" x14ac:dyDescent="0.2">
      <c r="C250" s="4"/>
    </row>
    <row r="251" spans="3:3" x14ac:dyDescent="0.2">
      <c r="C251" s="4"/>
    </row>
    <row r="252" spans="3:3" x14ac:dyDescent="0.2">
      <c r="C252" s="4"/>
    </row>
    <row r="253" spans="3:3" x14ac:dyDescent="0.2">
      <c r="C253" s="4"/>
    </row>
    <row r="254" spans="3:3" x14ac:dyDescent="0.2">
      <c r="C254" s="4"/>
    </row>
    <row r="255" spans="3:3" x14ac:dyDescent="0.2">
      <c r="C255" s="4"/>
    </row>
    <row r="256" spans="3:3" x14ac:dyDescent="0.2">
      <c r="C256" s="4"/>
    </row>
    <row r="257" spans="3:3" x14ac:dyDescent="0.2">
      <c r="C257" s="4"/>
    </row>
    <row r="258" spans="3:3" x14ac:dyDescent="0.2">
      <c r="C258" s="4"/>
    </row>
    <row r="259" spans="3:3" x14ac:dyDescent="0.2">
      <c r="C259" s="4"/>
    </row>
    <row r="260" spans="3:3" x14ac:dyDescent="0.2">
      <c r="C260" s="4"/>
    </row>
    <row r="261" spans="3:3" x14ac:dyDescent="0.2">
      <c r="C261" s="4"/>
    </row>
    <row r="262" spans="3:3" x14ac:dyDescent="0.2">
      <c r="C262" s="4"/>
    </row>
    <row r="263" spans="3:3" x14ac:dyDescent="0.2">
      <c r="C263" s="4"/>
    </row>
    <row r="264" spans="3:3" x14ac:dyDescent="0.2">
      <c r="C264" s="4"/>
    </row>
    <row r="265" spans="3:3" x14ac:dyDescent="0.2">
      <c r="C265" s="4"/>
    </row>
    <row r="266" spans="3:3" x14ac:dyDescent="0.2">
      <c r="C266" s="4"/>
    </row>
    <row r="267" spans="3:3" x14ac:dyDescent="0.2">
      <c r="C267" s="4"/>
    </row>
    <row r="268" spans="3:3" x14ac:dyDescent="0.2">
      <c r="C268" s="4"/>
    </row>
    <row r="269" spans="3:3" x14ac:dyDescent="0.2">
      <c r="C269" s="4"/>
    </row>
    <row r="270" spans="3:3" x14ac:dyDescent="0.2">
      <c r="C270" s="4"/>
    </row>
    <row r="271" spans="3:3" x14ac:dyDescent="0.2">
      <c r="C271" s="4"/>
    </row>
    <row r="272" spans="3:3" x14ac:dyDescent="0.2">
      <c r="C272" s="4"/>
    </row>
    <row r="273" spans="3:3" x14ac:dyDescent="0.2">
      <c r="C273" s="4"/>
    </row>
    <row r="274" spans="3:3" x14ac:dyDescent="0.2">
      <c r="C274" s="4"/>
    </row>
    <row r="275" spans="3:3" x14ac:dyDescent="0.2">
      <c r="C275" s="4"/>
    </row>
    <row r="276" spans="3:3" x14ac:dyDescent="0.2">
      <c r="C276" s="4"/>
    </row>
    <row r="277" spans="3:3" x14ac:dyDescent="0.2">
      <c r="C277" s="4"/>
    </row>
    <row r="278" spans="3:3" x14ac:dyDescent="0.2">
      <c r="C278" s="4"/>
    </row>
    <row r="279" spans="3:3" x14ac:dyDescent="0.2">
      <c r="C279" s="4"/>
    </row>
    <row r="280" spans="3:3" x14ac:dyDescent="0.2">
      <c r="C280" s="4"/>
    </row>
    <row r="281" spans="3:3" x14ac:dyDescent="0.2">
      <c r="C281" s="4"/>
    </row>
    <row r="282" spans="3:3" x14ac:dyDescent="0.2">
      <c r="C282" s="4"/>
    </row>
    <row r="283" spans="3:3" x14ac:dyDescent="0.2">
      <c r="C283" s="4"/>
    </row>
    <row r="284" spans="3:3" x14ac:dyDescent="0.2">
      <c r="C284" s="4"/>
    </row>
    <row r="285" spans="3:3" x14ac:dyDescent="0.2">
      <c r="C285" s="4"/>
    </row>
    <row r="286" spans="3:3" x14ac:dyDescent="0.2">
      <c r="C286" s="4"/>
    </row>
    <row r="287" spans="3:3" x14ac:dyDescent="0.2">
      <c r="C287" s="4"/>
    </row>
    <row r="288" spans="3:3" x14ac:dyDescent="0.2">
      <c r="C288" s="4"/>
    </row>
    <row r="289" spans="3:3" x14ac:dyDescent="0.2">
      <c r="C289" s="4"/>
    </row>
    <row r="290" spans="3:3" x14ac:dyDescent="0.2">
      <c r="C290" s="4"/>
    </row>
    <row r="291" spans="3:3" x14ac:dyDescent="0.2">
      <c r="C291" s="4"/>
    </row>
    <row r="292" spans="3:3" x14ac:dyDescent="0.2">
      <c r="C292" s="4"/>
    </row>
    <row r="293" spans="3:3" x14ac:dyDescent="0.2">
      <c r="C293" s="4"/>
    </row>
    <row r="294" spans="3:3" x14ac:dyDescent="0.2">
      <c r="C294" s="4"/>
    </row>
    <row r="295" spans="3:3" x14ac:dyDescent="0.2">
      <c r="C295" s="4"/>
    </row>
    <row r="296" spans="3:3" x14ac:dyDescent="0.2">
      <c r="C296" s="4"/>
    </row>
    <row r="297" spans="3:3" x14ac:dyDescent="0.2">
      <c r="C297" s="4"/>
    </row>
    <row r="298" spans="3:3" x14ac:dyDescent="0.2">
      <c r="C298" s="4"/>
    </row>
    <row r="299" spans="3:3" x14ac:dyDescent="0.2">
      <c r="C299" s="4"/>
    </row>
    <row r="300" spans="3:3" x14ac:dyDescent="0.2">
      <c r="C300" s="4"/>
    </row>
    <row r="301" spans="3:3" x14ac:dyDescent="0.2">
      <c r="C301" s="4"/>
    </row>
    <row r="302" spans="3:3" x14ac:dyDescent="0.2">
      <c r="C302" s="4"/>
    </row>
    <row r="303" spans="3:3" x14ac:dyDescent="0.2">
      <c r="C303" s="4"/>
    </row>
    <row r="304" spans="3:3" x14ac:dyDescent="0.2">
      <c r="C304" s="4"/>
    </row>
    <row r="305" spans="3:3" x14ac:dyDescent="0.2">
      <c r="C305" s="4"/>
    </row>
    <row r="306" spans="3:3" x14ac:dyDescent="0.2">
      <c r="C306" s="4"/>
    </row>
    <row r="307" spans="3:3" x14ac:dyDescent="0.2">
      <c r="C307" s="4"/>
    </row>
    <row r="308" spans="3:3" x14ac:dyDescent="0.2">
      <c r="C308" s="4"/>
    </row>
    <row r="309" spans="3:3" x14ac:dyDescent="0.2">
      <c r="C309" s="4"/>
    </row>
    <row r="310" spans="3:3" x14ac:dyDescent="0.2">
      <c r="C310" s="4"/>
    </row>
    <row r="311" spans="3:3" x14ac:dyDescent="0.2">
      <c r="C311" s="4"/>
    </row>
    <row r="312" spans="3:3" x14ac:dyDescent="0.2">
      <c r="C312" s="4"/>
    </row>
    <row r="313" spans="3:3" x14ac:dyDescent="0.2">
      <c r="C313" s="4"/>
    </row>
    <row r="314" spans="3:3" x14ac:dyDescent="0.2">
      <c r="C314" s="4"/>
    </row>
    <row r="315" spans="3:3" x14ac:dyDescent="0.2">
      <c r="C315" s="4"/>
    </row>
    <row r="316" spans="3:3" x14ac:dyDescent="0.2">
      <c r="C316" s="4"/>
    </row>
    <row r="317" spans="3:3" x14ac:dyDescent="0.2">
      <c r="C317" s="4"/>
    </row>
    <row r="318" spans="3:3" x14ac:dyDescent="0.2">
      <c r="C318" s="4"/>
    </row>
    <row r="319" spans="3:3" x14ac:dyDescent="0.2">
      <c r="C319" s="4"/>
    </row>
    <row r="320" spans="3:3" x14ac:dyDescent="0.2">
      <c r="C320" s="4"/>
    </row>
    <row r="321" spans="3:3" x14ac:dyDescent="0.2">
      <c r="C321" s="4"/>
    </row>
    <row r="322" spans="3:3" x14ac:dyDescent="0.2">
      <c r="C322" s="4"/>
    </row>
    <row r="323" spans="3:3" x14ac:dyDescent="0.2">
      <c r="C323" s="4"/>
    </row>
    <row r="324" spans="3:3" x14ac:dyDescent="0.2">
      <c r="C324" s="4"/>
    </row>
    <row r="325" spans="3:3" x14ac:dyDescent="0.2">
      <c r="C325" s="4"/>
    </row>
    <row r="326" spans="3:3" x14ac:dyDescent="0.2">
      <c r="C326" s="4"/>
    </row>
    <row r="327" spans="3:3" x14ac:dyDescent="0.2">
      <c r="C327" s="4"/>
    </row>
    <row r="328" spans="3:3" x14ac:dyDescent="0.2">
      <c r="C328" s="4"/>
    </row>
    <row r="329" spans="3:3" x14ac:dyDescent="0.2">
      <c r="C329" s="4"/>
    </row>
    <row r="330" spans="3:3" x14ac:dyDescent="0.2">
      <c r="C330" s="4"/>
    </row>
    <row r="331" spans="3:3" x14ac:dyDescent="0.2">
      <c r="C331" s="4"/>
    </row>
    <row r="332" spans="3:3" x14ac:dyDescent="0.2">
      <c r="C332" s="4"/>
    </row>
    <row r="333" spans="3:3" x14ac:dyDescent="0.2">
      <c r="C333" s="4"/>
    </row>
    <row r="334" spans="3:3" x14ac:dyDescent="0.2">
      <c r="C334" s="4"/>
    </row>
    <row r="335" spans="3:3" x14ac:dyDescent="0.2">
      <c r="C335" s="4"/>
    </row>
    <row r="336" spans="3:3" x14ac:dyDescent="0.2">
      <c r="C336" s="4"/>
    </row>
    <row r="337" spans="3:3" x14ac:dyDescent="0.2">
      <c r="C337" s="4"/>
    </row>
    <row r="338" spans="3:3" x14ac:dyDescent="0.2">
      <c r="C338" s="4"/>
    </row>
    <row r="339" spans="3:3" x14ac:dyDescent="0.2">
      <c r="C339" s="4"/>
    </row>
    <row r="340" spans="3:3" x14ac:dyDescent="0.2">
      <c r="C340" s="4"/>
    </row>
    <row r="341" spans="3:3" x14ac:dyDescent="0.2">
      <c r="C341" s="4"/>
    </row>
    <row r="342" spans="3:3" x14ac:dyDescent="0.2">
      <c r="C342" s="4"/>
    </row>
    <row r="343" spans="3:3" x14ac:dyDescent="0.2">
      <c r="C343" s="4"/>
    </row>
    <row r="344" spans="3:3" x14ac:dyDescent="0.2">
      <c r="C344" s="4"/>
    </row>
    <row r="345" spans="3:3" x14ac:dyDescent="0.2">
      <c r="C345" s="4"/>
    </row>
    <row r="346" spans="3:3" x14ac:dyDescent="0.2">
      <c r="C346" s="4"/>
    </row>
    <row r="347" spans="3:3" x14ac:dyDescent="0.2">
      <c r="C347" s="4"/>
    </row>
    <row r="348" spans="3:3" x14ac:dyDescent="0.2">
      <c r="C348" s="4"/>
    </row>
    <row r="349" spans="3:3" x14ac:dyDescent="0.2">
      <c r="C349" s="4"/>
    </row>
    <row r="350" spans="3:3" x14ac:dyDescent="0.2">
      <c r="C350" s="4"/>
    </row>
    <row r="351" spans="3:3" x14ac:dyDescent="0.2">
      <c r="C351" s="4"/>
    </row>
    <row r="352" spans="3:3" x14ac:dyDescent="0.2">
      <c r="C352" s="4"/>
    </row>
    <row r="353" spans="3:3" x14ac:dyDescent="0.2">
      <c r="C353" s="4"/>
    </row>
    <row r="354" spans="3:3" x14ac:dyDescent="0.2">
      <c r="C354" s="4"/>
    </row>
    <row r="355" spans="3:3" x14ac:dyDescent="0.2">
      <c r="C355" s="4"/>
    </row>
    <row r="356" spans="3:3" x14ac:dyDescent="0.2">
      <c r="C356" s="4"/>
    </row>
    <row r="357" spans="3:3" x14ac:dyDescent="0.2">
      <c r="C357" s="4"/>
    </row>
    <row r="358" spans="3:3" x14ac:dyDescent="0.2">
      <c r="C358" s="4"/>
    </row>
    <row r="359" spans="3:3" x14ac:dyDescent="0.2">
      <c r="C359" s="4"/>
    </row>
    <row r="360" spans="3:3" x14ac:dyDescent="0.2">
      <c r="C360" s="4"/>
    </row>
    <row r="361" spans="3:3" x14ac:dyDescent="0.2">
      <c r="C361" s="4"/>
    </row>
    <row r="362" spans="3:3" x14ac:dyDescent="0.2">
      <c r="C362" s="4"/>
    </row>
    <row r="363" spans="3:3" x14ac:dyDescent="0.2">
      <c r="C363" s="4"/>
    </row>
    <row r="364" spans="3:3" x14ac:dyDescent="0.2">
      <c r="C364" s="4"/>
    </row>
    <row r="365" spans="3:3" x14ac:dyDescent="0.2">
      <c r="C365" s="4"/>
    </row>
    <row r="366" spans="3:3" x14ac:dyDescent="0.2">
      <c r="C366" s="4"/>
    </row>
    <row r="367" spans="3:3" x14ac:dyDescent="0.2">
      <c r="C367" s="4"/>
    </row>
    <row r="368" spans="3:3" x14ac:dyDescent="0.2">
      <c r="C368" s="4"/>
    </row>
    <row r="369" spans="3:3" x14ac:dyDescent="0.2">
      <c r="C369" s="4"/>
    </row>
    <row r="370" spans="3:3" x14ac:dyDescent="0.2">
      <c r="C370" s="4"/>
    </row>
    <row r="371" spans="3:3" x14ac:dyDescent="0.2">
      <c r="C371" s="4"/>
    </row>
    <row r="372" spans="3:3" x14ac:dyDescent="0.2">
      <c r="C372" s="4"/>
    </row>
    <row r="373" spans="3:3" x14ac:dyDescent="0.2">
      <c r="C373" s="4"/>
    </row>
    <row r="374" spans="3:3" x14ac:dyDescent="0.2">
      <c r="C374" s="4"/>
    </row>
    <row r="375" spans="3:3" x14ac:dyDescent="0.2">
      <c r="C375" s="4"/>
    </row>
    <row r="376" spans="3:3" x14ac:dyDescent="0.2">
      <c r="C376" s="4"/>
    </row>
    <row r="377" spans="3:3" x14ac:dyDescent="0.2">
      <c r="C377" s="4"/>
    </row>
    <row r="378" spans="3:3" x14ac:dyDescent="0.2">
      <c r="C378" s="4"/>
    </row>
    <row r="379" spans="3:3" x14ac:dyDescent="0.2">
      <c r="C379" s="4"/>
    </row>
    <row r="380" spans="3:3" x14ac:dyDescent="0.2">
      <c r="C380" s="4"/>
    </row>
    <row r="381" spans="3:3" x14ac:dyDescent="0.2">
      <c r="C381" s="4"/>
    </row>
    <row r="382" spans="3:3" x14ac:dyDescent="0.2">
      <c r="C382" s="4"/>
    </row>
    <row r="383" spans="3:3" x14ac:dyDescent="0.2">
      <c r="C383" s="4"/>
    </row>
    <row r="384" spans="3:3" x14ac:dyDescent="0.2">
      <c r="C384" s="4"/>
    </row>
    <row r="385" spans="3:3" x14ac:dyDescent="0.2">
      <c r="C385" s="4"/>
    </row>
    <row r="386" spans="3:3" x14ac:dyDescent="0.2">
      <c r="C386" s="4"/>
    </row>
    <row r="387" spans="3:3" x14ac:dyDescent="0.2">
      <c r="C387" s="4"/>
    </row>
    <row r="388" spans="3:3" x14ac:dyDescent="0.2">
      <c r="C388" s="4"/>
    </row>
    <row r="389" spans="3:3" x14ac:dyDescent="0.2">
      <c r="C389" s="4"/>
    </row>
    <row r="390" spans="3:3" x14ac:dyDescent="0.2">
      <c r="C390" s="4"/>
    </row>
    <row r="391" spans="3:3" x14ac:dyDescent="0.2">
      <c r="C391" s="4"/>
    </row>
    <row r="392" spans="3:3" x14ac:dyDescent="0.2">
      <c r="C392" s="4"/>
    </row>
    <row r="393" spans="3:3" x14ac:dyDescent="0.2">
      <c r="C393" s="4"/>
    </row>
    <row r="394" spans="3:3" x14ac:dyDescent="0.2">
      <c r="C394" s="4"/>
    </row>
    <row r="395" spans="3:3" x14ac:dyDescent="0.2">
      <c r="C395" s="4"/>
    </row>
    <row r="396" spans="3:3" x14ac:dyDescent="0.2">
      <c r="C396" s="4"/>
    </row>
    <row r="397" spans="3:3" x14ac:dyDescent="0.2">
      <c r="C397" s="4"/>
    </row>
    <row r="398" spans="3:3" x14ac:dyDescent="0.2">
      <c r="C398" s="4"/>
    </row>
    <row r="399" spans="3:3" x14ac:dyDescent="0.2">
      <c r="C399" s="4"/>
    </row>
    <row r="400" spans="3:3" x14ac:dyDescent="0.2">
      <c r="C400" s="4"/>
    </row>
    <row r="401" spans="3:3" x14ac:dyDescent="0.2">
      <c r="C401" s="4"/>
    </row>
    <row r="402" spans="3:3" x14ac:dyDescent="0.2">
      <c r="C402" s="4"/>
    </row>
    <row r="403" spans="3:3" x14ac:dyDescent="0.2">
      <c r="C403" s="4"/>
    </row>
    <row r="404" spans="3:3" x14ac:dyDescent="0.2">
      <c r="C404" s="4"/>
    </row>
    <row r="405" spans="3:3" x14ac:dyDescent="0.2">
      <c r="C405" s="4"/>
    </row>
    <row r="406" spans="3:3" x14ac:dyDescent="0.2">
      <c r="C406" s="4"/>
    </row>
    <row r="407" spans="3:3" x14ac:dyDescent="0.2">
      <c r="C407" s="4"/>
    </row>
    <row r="408" spans="3:3" x14ac:dyDescent="0.2">
      <c r="C408" s="4"/>
    </row>
    <row r="409" spans="3:3" x14ac:dyDescent="0.2">
      <c r="C409" s="4"/>
    </row>
    <row r="410" spans="3:3" x14ac:dyDescent="0.2">
      <c r="C410" s="4"/>
    </row>
    <row r="411" spans="3:3" x14ac:dyDescent="0.2">
      <c r="C411" s="4"/>
    </row>
    <row r="412" spans="3:3" x14ac:dyDescent="0.2">
      <c r="C412" s="4"/>
    </row>
    <row r="413" spans="3:3" x14ac:dyDescent="0.2">
      <c r="C413" s="4"/>
    </row>
    <row r="414" spans="3:3" x14ac:dyDescent="0.2">
      <c r="C414" s="4"/>
    </row>
    <row r="415" spans="3:3" x14ac:dyDescent="0.2">
      <c r="C415" s="4"/>
    </row>
    <row r="416" spans="3:3" x14ac:dyDescent="0.2">
      <c r="C416" s="4"/>
    </row>
    <row r="417" spans="3:3" x14ac:dyDescent="0.2">
      <c r="C417" s="4"/>
    </row>
    <row r="418" spans="3:3" x14ac:dyDescent="0.2">
      <c r="C418" s="4"/>
    </row>
    <row r="419" spans="3:3" x14ac:dyDescent="0.2">
      <c r="C419" s="4"/>
    </row>
    <row r="420" spans="3:3" x14ac:dyDescent="0.2">
      <c r="C420" s="4"/>
    </row>
    <row r="421" spans="3:3" x14ac:dyDescent="0.2">
      <c r="C421" s="4"/>
    </row>
    <row r="422" spans="3:3" x14ac:dyDescent="0.2">
      <c r="C422" s="4"/>
    </row>
    <row r="423" spans="3:3" x14ac:dyDescent="0.2">
      <c r="C423" s="4"/>
    </row>
    <row r="424" spans="3:3" x14ac:dyDescent="0.2">
      <c r="C424" s="4"/>
    </row>
    <row r="425" spans="3:3" x14ac:dyDescent="0.2">
      <c r="C425" s="4"/>
    </row>
    <row r="426" spans="3:3" x14ac:dyDescent="0.2">
      <c r="C426" s="4"/>
    </row>
    <row r="427" spans="3:3" x14ac:dyDescent="0.2">
      <c r="C427" s="4"/>
    </row>
    <row r="428" spans="3:3" x14ac:dyDescent="0.2">
      <c r="C428" s="4"/>
    </row>
    <row r="429" spans="3:3" x14ac:dyDescent="0.2">
      <c r="C429" s="4"/>
    </row>
    <row r="430" spans="3:3" x14ac:dyDescent="0.2">
      <c r="C430" s="4"/>
    </row>
    <row r="431" spans="3:3" x14ac:dyDescent="0.2">
      <c r="C431" s="4"/>
    </row>
    <row r="432" spans="3:3" x14ac:dyDescent="0.2">
      <c r="C432" s="4"/>
    </row>
    <row r="433" spans="3:3" x14ac:dyDescent="0.2">
      <c r="C433" s="4"/>
    </row>
    <row r="434" spans="3:3" x14ac:dyDescent="0.2">
      <c r="C434" s="4"/>
    </row>
    <row r="435" spans="3:3" x14ac:dyDescent="0.2">
      <c r="C435" s="4"/>
    </row>
    <row r="436" spans="3:3" x14ac:dyDescent="0.2">
      <c r="C436" s="4"/>
    </row>
    <row r="437" spans="3:3" x14ac:dyDescent="0.2">
      <c r="C437" s="4"/>
    </row>
    <row r="438" spans="3:3" x14ac:dyDescent="0.2">
      <c r="C438" s="4"/>
    </row>
    <row r="439" spans="3:3" x14ac:dyDescent="0.2">
      <c r="C439" s="4"/>
    </row>
    <row r="440" spans="3:3" x14ac:dyDescent="0.2">
      <c r="C440" s="4"/>
    </row>
    <row r="441" spans="3:3" x14ac:dyDescent="0.2">
      <c r="C441" s="4"/>
    </row>
    <row r="442" spans="3:3" x14ac:dyDescent="0.2">
      <c r="C442" s="4"/>
    </row>
    <row r="443" spans="3:3" x14ac:dyDescent="0.2">
      <c r="C443" s="4"/>
    </row>
    <row r="444" spans="3:3" x14ac:dyDescent="0.2">
      <c r="C444" s="4"/>
    </row>
    <row r="445" spans="3:3" x14ac:dyDescent="0.2">
      <c r="C445" s="4"/>
    </row>
    <row r="446" spans="3:3" x14ac:dyDescent="0.2">
      <c r="C446" s="4"/>
    </row>
    <row r="447" spans="3:3" x14ac:dyDescent="0.2">
      <c r="C447" s="4"/>
    </row>
    <row r="448" spans="3:3" x14ac:dyDescent="0.2">
      <c r="C448" s="4"/>
    </row>
    <row r="449" spans="3:3" x14ac:dyDescent="0.2">
      <c r="C449" s="4"/>
    </row>
    <row r="450" spans="3:3" x14ac:dyDescent="0.2">
      <c r="C450" s="4"/>
    </row>
    <row r="451" spans="3:3" x14ac:dyDescent="0.2">
      <c r="C451" s="4"/>
    </row>
    <row r="452" spans="3:3" x14ac:dyDescent="0.2">
      <c r="C452" s="4"/>
    </row>
    <row r="453" spans="3:3" x14ac:dyDescent="0.2">
      <c r="C453" s="4"/>
    </row>
    <row r="454" spans="3:3" x14ac:dyDescent="0.2">
      <c r="C454" s="4"/>
    </row>
    <row r="455" spans="3:3" x14ac:dyDescent="0.2">
      <c r="C455" s="4"/>
    </row>
    <row r="456" spans="3:3" x14ac:dyDescent="0.2">
      <c r="C456" s="4"/>
    </row>
    <row r="457" spans="3:3" x14ac:dyDescent="0.2">
      <c r="C457" s="4"/>
    </row>
    <row r="458" spans="3:3" x14ac:dyDescent="0.2">
      <c r="C458" s="4"/>
    </row>
    <row r="459" spans="3:3" x14ac:dyDescent="0.2">
      <c r="C459" s="4"/>
    </row>
    <row r="460" spans="3:3" x14ac:dyDescent="0.2">
      <c r="C460" s="4"/>
    </row>
    <row r="461" spans="3:3" x14ac:dyDescent="0.2">
      <c r="C461" s="4"/>
    </row>
    <row r="462" spans="3:3" x14ac:dyDescent="0.2">
      <c r="C462" s="4"/>
    </row>
    <row r="463" spans="3:3" x14ac:dyDescent="0.2">
      <c r="C463" s="4"/>
    </row>
    <row r="464" spans="3:3" x14ac:dyDescent="0.2">
      <c r="C464" s="4"/>
    </row>
    <row r="465" spans="3:3" x14ac:dyDescent="0.2">
      <c r="C465" s="4"/>
    </row>
    <row r="466" spans="3:3" x14ac:dyDescent="0.2">
      <c r="C466" s="4"/>
    </row>
    <row r="467" spans="3:3" x14ac:dyDescent="0.2">
      <c r="C467" s="4"/>
    </row>
    <row r="468" spans="3:3" x14ac:dyDescent="0.2">
      <c r="C468" s="4"/>
    </row>
    <row r="469" spans="3:3" x14ac:dyDescent="0.2">
      <c r="C469" s="4"/>
    </row>
    <row r="470" spans="3:3" x14ac:dyDescent="0.2">
      <c r="C470" s="4"/>
    </row>
    <row r="471" spans="3:3" x14ac:dyDescent="0.2">
      <c r="C471" s="4"/>
    </row>
    <row r="472" spans="3:3" x14ac:dyDescent="0.2">
      <c r="C472" s="4"/>
    </row>
    <row r="473" spans="3:3" x14ac:dyDescent="0.2">
      <c r="C473" s="4"/>
    </row>
    <row r="474" spans="3:3" x14ac:dyDescent="0.2">
      <c r="C474" s="4"/>
    </row>
    <row r="475" spans="3:3" x14ac:dyDescent="0.2">
      <c r="C475" s="4"/>
    </row>
    <row r="476" spans="3:3" x14ac:dyDescent="0.2">
      <c r="C476" s="4"/>
    </row>
    <row r="477" spans="3:3" x14ac:dyDescent="0.2">
      <c r="C477" s="4"/>
    </row>
    <row r="478" spans="3:3" x14ac:dyDescent="0.2">
      <c r="C478" s="4"/>
    </row>
    <row r="479" spans="3:3" x14ac:dyDescent="0.2">
      <c r="C479" s="4"/>
    </row>
    <row r="480" spans="3:3" x14ac:dyDescent="0.2">
      <c r="C480" s="4"/>
    </row>
    <row r="481" spans="3:3" x14ac:dyDescent="0.2">
      <c r="C481" s="4"/>
    </row>
    <row r="482" spans="3:3" x14ac:dyDescent="0.2">
      <c r="C482" s="4"/>
    </row>
    <row r="483" spans="3:3" x14ac:dyDescent="0.2">
      <c r="C483" s="4"/>
    </row>
    <row r="484" spans="3:3" x14ac:dyDescent="0.2">
      <c r="C484" s="4"/>
    </row>
    <row r="485" spans="3:3" x14ac:dyDescent="0.2">
      <c r="C485" s="4"/>
    </row>
    <row r="486" spans="3:3" x14ac:dyDescent="0.2">
      <c r="C486" s="4"/>
    </row>
    <row r="487" spans="3:3" x14ac:dyDescent="0.2">
      <c r="C487" s="4"/>
    </row>
    <row r="488" spans="3:3" x14ac:dyDescent="0.2">
      <c r="C488" s="4"/>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EB3DC-DA9D-C54D-9E6D-DA02AD9B48B2}">
  <dimension ref="A1:F488"/>
  <sheetViews>
    <sheetView tabSelected="1" topLeftCell="A5" workbookViewId="0">
      <selection sqref="A1:XFD1048576"/>
    </sheetView>
  </sheetViews>
  <sheetFormatPr baseColWidth="10" defaultRowHeight="16" x14ac:dyDescent="0.2"/>
  <sheetData>
    <row r="1" spans="1:6" x14ac:dyDescent="0.2">
      <c r="A1" s="2" t="s">
        <v>886</v>
      </c>
      <c r="B1" s="2" t="s">
        <v>887</v>
      </c>
      <c r="C1" s="2" t="s">
        <v>888</v>
      </c>
      <c r="D1" s="2" t="s">
        <v>889</v>
      </c>
      <c r="E1" s="2" t="s">
        <v>890</v>
      </c>
      <c r="F1" s="2" t="s">
        <v>891</v>
      </c>
    </row>
    <row r="2" spans="1:6" x14ac:dyDescent="0.2">
      <c r="A2">
        <v>695</v>
      </c>
      <c r="B2" s="4">
        <v>1.6666666666666667</v>
      </c>
      <c r="C2">
        <v>810</v>
      </c>
      <c r="D2" s="4">
        <v>1.6666666666666667</v>
      </c>
      <c r="E2">
        <v>896</v>
      </c>
      <c r="F2" s="4">
        <v>2</v>
      </c>
    </row>
    <row r="3" spans="1:6" x14ac:dyDescent="0.2">
      <c r="A3">
        <v>201</v>
      </c>
      <c r="B3" s="4">
        <v>1.6666666666666667</v>
      </c>
      <c r="C3">
        <v>236</v>
      </c>
      <c r="D3" s="4">
        <v>2</v>
      </c>
      <c r="E3">
        <v>268</v>
      </c>
      <c r="F3" s="4">
        <v>2</v>
      </c>
    </row>
    <row r="4" spans="1:6" x14ac:dyDescent="0.2">
      <c r="A4">
        <v>730</v>
      </c>
      <c r="B4" s="4">
        <v>1.3333333333333333</v>
      </c>
      <c r="C4">
        <v>857</v>
      </c>
      <c r="D4" s="4">
        <v>1</v>
      </c>
      <c r="E4">
        <v>678</v>
      </c>
      <c r="F4" s="4">
        <v>2</v>
      </c>
    </row>
    <row r="5" spans="1:6" x14ac:dyDescent="0.2">
      <c r="A5">
        <v>202</v>
      </c>
      <c r="B5" s="4">
        <v>2</v>
      </c>
      <c r="C5">
        <v>338</v>
      </c>
      <c r="D5" s="4">
        <v>2</v>
      </c>
      <c r="E5">
        <v>294</v>
      </c>
      <c r="F5" s="4">
        <v>2</v>
      </c>
    </row>
    <row r="6" spans="1:6" x14ac:dyDescent="0.2">
      <c r="A6">
        <v>1685</v>
      </c>
      <c r="B6" s="4">
        <v>0.66666666666666663</v>
      </c>
      <c r="C6">
        <v>1544</v>
      </c>
      <c r="D6" s="4">
        <v>1.3333333333333333</v>
      </c>
      <c r="E6">
        <v>1491</v>
      </c>
      <c r="F6" s="4">
        <v>2</v>
      </c>
    </row>
    <row r="7" spans="1:6" x14ac:dyDescent="0.2">
      <c r="A7">
        <v>683</v>
      </c>
      <c r="B7" s="4">
        <v>1.6666666666666667</v>
      </c>
      <c r="C7">
        <v>776</v>
      </c>
      <c r="D7" s="4">
        <v>0.66666666666666663</v>
      </c>
      <c r="E7">
        <v>906</v>
      </c>
      <c r="F7" s="4">
        <v>2</v>
      </c>
    </row>
    <row r="8" spans="1:6" x14ac:dyDescent="0.2">
      <c r="A8">
        <v>167</v>
      </c>
      <c r="B8" s="4">
        <v>2</v>
      </c>
      <c r="C8">
        <v>208</v>
      </c>
      <c r="D8" s="4">
        <v>2</v>
      </c>
      <c r="E8">
        <v>304</v>
      </c>
      <c r="F8" s="4">
        <v>2</v>
      </c>
    </row>
    <row r="9" spans="1:6" x14ac:dyDescent="0.2">
      <c r="A9">
        <v>692</v>
      </c>
      <c r="B9" s="4">
        <v>1.3333333333333333</v>
      </c>
      <c r="C9">
        <v>789</v>
      </c>
      <c r="D9" s="4">
        <v>2</v>
      </c>
      <c r="E9">
        <v>813</v>
      </c>
      <c r="F9" s="4">
        <v>2</v>
      </c>
    </row>
    <row r="10" spans="1:6" x14ac:dyDescent="0.2">
      <c r="A10">
        <v>267</v>
      </c>
      <c r="B10" s="4">
        <v>2</v>
      </c>
      <c r="C10">
        <v>372</v>
      </c>
      <c r="D10" s="4">
        <v>1.6666666666666667</v>
      </c>
      <c r="E10">
        <v>293</v>
      </c>
      <c r="F10" s="4">
        <v>2</v>
      </c>
    </row>
    <row r="11" spans="1:6" x14ac:dyDescent="0.2">
      <c r="A11">
        <v>1627</v>
      </c>
      <c r="B11" s="4">
        <v>2</v>
      </c>
      <c r="C11">
        <v>1589</v>
      </c>
      <c r="D11" s="4">
        <v>1.3333333333333333</v>
      </c>
      <c r="E11">
        <v>1463</v>
      </c>
      <c r="F11" s="4">
        <v>1.6666666666666667</v>
      </c>
    </row>
    <row r="12" spans="1:6" x14ac:dyDescent="0.2">
      <c r="A12">
        <v>800</v>
      </c>
      <c r="B12" s="4">
        <v>1.6666666666666667</v>
      </c>
      <c r="C12">
        <v>782</v>
      </c>
      <c r="D12" s="4">
        <v>2</v>
      </c>
      <c r="E12">
        <v>953</v>
      </c>
      <c r="F12" s="4">
        <v>2</v>
      </c>
    </row>
    <row r="13" spans="1:6" x14ac:dyDescent="0.2">
      <c r="A13">
        <v>139</v>
      </c>
      <c r="B13" s="4">
        <v>2</v>
      </c>
      <c r="C13">
        <v>196</v>
      </c>
      <c r="D13" s="4">
        <v>2</v>
      </c>
      <c r="E13">
        <v>24</v>
      </c>
      <c r="F13" s="4">
        <v>0</v>
      </c>
    </row>
    <row r="14" spans="1:6" x14ac:dyDescent="0.2">
      <c r="A14">
        <v>741</v>
      </c>
      <c r="B14" s="4">
        <v>1</v>
      </c>
      <c r="C14">
        <v>827</v>
      </c>
      <c r="D14" s="4">
        <v>2</v>
      </c>
      <c r="E14">
        <v>178</v>
      </c>
      <c r="F14" s="4">
        <v>1.6666666666666667</v>
      </c>
    </row>
    <row r="15" spans="1:6" x14ac:dyDescent="0.2">
      <c r="A15">
        <v>220</v>
      </c>
      <c r="B15" s="4">
        <v>2</v>
      </c>
      <c r="C15">
        <v>337</v>
      </c>
      <c r="D15" s="4">
        <v>2</v>
      </c>
      <c r="E15">
        <v>739</v>
      </c>
      <c r="F15" s="4">
        <v>2</v>
      </c>
    </row>
    <row r="16" spans="1:6" x14ac:dyDescent="0.2">
      <c r="A16">
        <v>1571</v>
      </c>
      <c r="B16" s="4">
        <v>2</v>
      </c>
      <c r="C16">
        <v>1388</v>
      </c>
      <c r="D16" s="4">
        <v>2</v>
      </c>
      <c r="E16">
        <v>260</v>
      </c>
      <c r="F16" s="4">
        <v>1.6666666666666667</v>
      </c>
    </row>
    <row r="17" spans="1:6" x14ac:dyDescent="0.2">
      <c r="A17">
        <v>847</v>
      </c>
      <c r="B17" s="4">
        <v>2</v>
      </c>
      <c r="C17">
        <v>849</v>
      </c>
      <c r="D17" s="4">
        <v>1.6666666666666667</v>
      </c>
      <c r="E17">
        <v>1466</v>
      </c>
      <c r="F17" s="4">
        <v>1.3333333333333333</v>
      </c>
    </row>
    <row r="18" spans="1:6" x14ac:dyDescent="0.2">
      <c r="A18">
        <v>157</v>
      </c>
      <c r="B18" s="4">
        <v>2</v>
      </c>
      <c r="C18">
        <v>290</v>
      </c>
      <c r="D18" s="4">
        <v>1.3333333333333333</v>
      </c>
      <c r="E18">
        <v>956</v>
      </c>
      <c r="F18" s="4">
        <v>2</v>
      </c>
    </row>
    <row r="19" spans="1:6" x14ac:dyDescent="0.2">
      <c r="A19">
        <v>840</v>
      </c>
      <c r="B19" s="4">
        <v>1</v>
      </c>
      <c r="C19">
        <v>820</v>
      </c>
      <c r="D19" s="4">
        <v>2</v>
      </c>
      <c r="E19">
        <v>214</v>
      </c>
      <c r="F19" s="4">
        <v>2</v>
      </c>
    </row>
    <row r="20" spans="1:6" x14ac:dyDescent="0.2">
      <c r="A20">
        <v>132</v>
      </c>
      <c r="B20" s="4">
        <v>0</v>
      </c>
      <c r="C20">
        <v>132</v>
      </c>
      <c r="D20" s="4">
        <v>0</v>
      </c>
      <c r="E20">
        <v>876</v>
      </c>
      <c r="F20" s="4">
        <v>2</v>
      </c>
    </row>
    <row r="21" spans="1:6" x14ac:dyDescent="0.2">
      <c r="A21">
        <v>284</v>
      </c>
      <c r="B21" s="4">
        <v>2</v>
      </c>
      <c r="C21">
        <v>310</v>
      </c>
      <c r="D21" s="4">
        <v>2</v>
      </c>
      <c r="E21">
        <v>318</v>
      </c>
      <c r="F21" s="4">
        <v>2</v>
      </c>
    </row>
    <row r="22" spans="1:6" x14ac:dyDescent="0.2">
      <c r="A22">
        <v>2260</v>
      </c>
      <c r="B22" s="4">
        <v>1.3333333333333333</v>
      </c>
      <c r="C22">
        <v>2038</v>
      </c>
      <c r="D22" s="4">
        <v>1.3333333333333333</v>
      </c>
      <c r="E22">
        <v>207</v>
      </c>
      <c r="F22" s="4">
        <v>2</v>
      </c>
    </row>
    <row r="23" spans="1:6" x14ac:dyDescent="0.2">
      <c r="A23">
        <v>219</v>
      </c>
      <c r="B23" s="4">
        <v>0.8</v>
      </c>
      <c r="C23">
        <v>247</v>
      </c>
      <c r="D23" s="4">
        <v>2</v>
      </c>
      <c r="E23">
        <v>2337</v>
      </c>
      <c r="F23" s="4">
        <v>2</v>
      </c>
    </row>
    <row r="24" spans="1:6" x14ac:dyDescent="0.2">
      <c r="A24">
        <v>444</v>
      </c>
      <c r="B24" s="4">
        <v>2</v>
      </c>
      <c r="C24">
        <v>431</v>
      </c>
      <c r="D24" s="4">
        <v>2</v>
      </c>
      <c r="E24">
        <v>364</v>
      </c>
      <c r="F24" s="4">
        <v>0.8</v>
      </c>
    </row>
    <row r="25" spans="1:6" x14ac:dyDescent="0.2">
      <c r="A25">
        <v>387</v>
      </c>
      <c r="B25" s="4">
        <v>2</v>
      </c>
      <c r="C25">
        <v>371</v>
      </c>
      <c r="D25" s="4">
        <v>2</v>
      </c>
      <c r="E25">
        <v>407</v>
      </c>
      <c r="F25" s="4">
        <v>0.8</v>
      </c>
    </row>
    <row r="26" spans="1:6" x14ac:dyDescent="0.2">
      <c r="A26">
        <v>226</v>
      </c>
      <c r="B26" s="4">
        <v>1.8</v>
      </c>
      <c r="C26">
        <v>246</v>
      </c>
      <c r="D26" s="4">
        <v>2</v>
      </c>
      <c r="E26">
        <v>459</v>
      </c>
      <c r="F26" s="4">
        <v>2</v>
      </c>
    </row>
    <row r="27" spans="1:6" x14ac:dyDescent="0.2">
      <c r="A27">
        <v>469</v>
      </c>
      <c r="B27" s="4">
        <v>2</v>
      </c>
      <c r="C27">
        <v>442</v>
      </c>
      <c r="D27" s="4">
        <v>2</v>
      </c>
      <c r="E27">
        <v>367</v>
      </c>
      <c r="F27" s="4">
        <v>2</v>
      </c>
    </row>
    <row r="28" spans="1:6" x14ac:dyDescent="0.2">
      <c r="A28">
        <v>206</v>
      </c>
      <c r="B28" s="4">
        <v>1.6</v>
      </c>
      <c r="C28">
        <v>282</v>
      </c>
      <c r="D28" s="4">
        <v>1.6</v>
      </c>
      <c r="E28">
        <v>405</v>
      </c>
      <c r="F28" s="4">
        <v>1.8</v>
      </c>
    </row>
    <row r="29" spans="1:6" x14ac:dyDescent="0.2">
      <c r="A29">
        <v>291</v>
      </c>
      <c r="B29" s="4">
        <v>1.8</v>
      </c>
      <c r="C29">
        <v>447</v>
      </c>
      <c r="D29" s="4">
        <v>1.8</v>
      </c>
      <c r="E29">
        <v>432</v>
      </c>
      <c r="F29" s="4">
        <v>2</v>
      </c>
    </row>
    <row r="30" spans="1:6" x14ac:dyDescent="0.2">
      <c r="A30">
        <v>214</v>
      </c>
      <c r="B30" s="4">
        <v>2</v>
      </c>
      <c r="C30">
        <v>240</v>
      </c>
      <c r="D30" s="4">
        <v>2</v>
      </c>
      <c r="E30">
        <v>347</v>
      </c>
      <c r="F30" s="4">
        <v>1.6</v>
      </c>
    </row>
    <row r="31" spans="1:6" x14ac:dyDescent="0.2">
      <c r="A31">
        <v>214</v>
      </c>
      <c r="B31" s="4">
        <v>2</v>
      </c>
      <c r="C31">
        <v>381</v>
      </c>
      <c r="D31" s="4">
        <v>2</v>
      </c>
      <c r="E31">
        <v>402</v>
      </c>
      <c r="F31" s="4">
        <v>1.8</v>
      </c>
    </row>
    <row r="32" spans="1:6" x14ac:dyDescent="0.2">
      <c r="A32">
        <v>209</v>
      </c>
      <c r="B32" s="4">
        <v>1.75</v>
      </c>
      <c r="C32">
        <v>310</v>
      </c>
      <c r="D32" s="4">
        <v>1.5</v>
      </c>
      <c r="E32">
        <v>304</v>
      </c>
      <c r="F32" s="4">
        <v>2</v>
      </c>
    </row>
    <row r="33" spans="1:6" x14ac:dyDescent="0.2">
      <c r="A33">
        <v>199</v>
      </c>
      <c r="B33" s="4">
        <v>2</v>
      </c>
      <c r="C33">
        <v>304</v>
      </c>
      <c r="D33" s="4">
        <v>2</v>
      </c>
      <c r="E33">
        <v>291</v>
      </c>
      <c r="F33" s="4">
        <v>2</v>
      </c>
    </row>
    <row r="34" spans="1:6" x14ac:dyDescent="0.2">
      <c r="A34">
        <v>243</v>
      </c>
      <c r="B34" s="4">
        <v>1.5</v>
      </c>
      <c r="C34">
        <v>321</v>
      </c>
      <c r="D34" s="4">
        <v>1.5</v>
      </c>
      <c r="E34">
        <v>314</v>
      </c>
      <c r="F34" s="4">
        <v>1.75</v>
      </c>
    </row>
    <row r="35" spans="1:6" x14ac:dyDescent="0.2">
      <c r="A35">
        <v>198</v>
      </c>
      <c r="B35" s="4">
        <v>1.5</v>
      </c>
      <c r="C35">
        <v>276</v>
      </c>
      <c r="D35" s="4">
        <v>1.5</v>
      </c>
      <c r="E35">
        <v>258</v>
      </c>
      <c r="F35" s="4">
        <v>2</v>
      </c>
    </row>
    <row r="36" spans="1:6" x14ac:dyDescent="0.2">
      <c r="A36">
        <v>201</v>
      </c>
      <c r="B36" s="4">
        <v>1.75</v>
      </c>
      <c r="C36">
        <v>317</v>
      </c>
      <c r="D36" s="4">
        <v>2</v>
      </c>
      <c r="E36">
        <v>344</v>
      </c>
      <c r="F36" s="4">
        <v>2</v>
      </c>
    </row>
    <row r="37" spans="1:6" x14ac:dyDescent="0.2">
      <c r="A37">
        <v>216</v>
      </c>
      <c r="B37" s="4">
        <v>2</v>
      </c>
      <c r="C37">
        <v>374</v>
      </c>
      <c r="D37" s="4">
        <v>2</v>
      </c>
      <c r="E37">
        <v>323</v>
      </c>
      <c r="F37" s="4">
        <v>2</v>
      </c>
    </row>
    <row r="38" spans="1:6" x14ac:dyDescent="0.2">
      <c r="A38">
        <v>236</v>
      </c>
      <c r="B38" s="4">
        <v>2</v>
      </c>
      <c r="C38">
        <v>242</v>
      </c>
      <c r="D38" s="4">
        <v>2</v>
      </c>
      <c r="E38">
        <v>322</v>
      </c>
      <c r="F38" s="4">
        <v>2</v>
      </c>
    </row>
    <row r="39" spans="1:6" x14ac:dyDescent="0.2">
      <c r="A39">
        <v>24</v>
      </c>
      <c r="B39" s="4">
        <v>2</v>
      </c>
      <c r="C39">
        <v>24</v>
      </c>
      <c r="D39" s="4">
        <v>2</v>
      </c>
      <c r="E39">
        <v>290</v>
      </c>
      <c r="F39" s="4">
        <v>2</v>
      </c>
    </row>
    <row r="40" spans="1:6" x14ac:dyDescent="0.2">
      <c r="A40">
        <v>24</v>
      </c>
      <c r="B40" s="4">
        <v>2</v>
      </c>
      <c r="C40">
        <v>24</v>
      </c>
      <c r="D40" s="4">
        <v>2</v>
      </c>
      <c r="E40">
        <v>323</v>
      </c>
      <c r="F40" s="4">
        <v>2</v>
      </c>
    </row>
    <row r="41" spans="1:6" x14ac:dyDescent="0.2">
      <c r="A41">
        <v>24</v>
      </c>
      <c r="B41" s="4">
        <v>2</v>
      </c>
      <c r="C41">
        <v>24</v>
      </c>
      <c r="D41" s="4">
        <v>2</v>
      </c>
      <c r="E41">
        <v>335</v>
      </c>
      <c r="F41" s="4">
        <v>2</v>
      </c>
    </row>
    <row r="42" spans="1:6" x14ac:dyDescent="0.2">
      <c r="A42">
        <v>340</v>
      </c>
      <c r="B42" s="4">
        <v>2</v>
      </c>
      <c r="C42">
        <v>869</v>
      </c>
      <c r="D42" s="4">
        <v>0.25</v>
      </c>
      <c r="E42">
        <v>24</v>
      </c>
      <c r="F42" s="4">
        <v>2</v>
      </c>
    </row>
    <row r="43" spans="1:6" x14ac:dyDescent="0.2">
      <c r="A43">
        <v>405</v>
      </c>
      <c r="B43" s="4">
        <v>1.25</v>
      </c>
      <c r="C43">
        <v>496</v>
      </c>
      <c r="D43" s="4">
        <v>2</v>
      </c>
      <c r="E43">
        <v>24</v>
      </c>
      <c r="F43" s="4">
        <v>2</v>
      </c>
    </row>
    <row r="44" spans="1:6" x14ac:dyDescent="0.2">
      <c r="A44">
        <v>432</v>
      </c>
      <c r="B44" s="4">
        <v>2</v>
      </c>
      <c r="C44">
        <v>661</v>
      </c>
      <c r="D44" s="4">
        <v>1.5</v>
      </c>
      <c r="E44">
        <v>24</v>
      </c>
      <c r="F44" s="4">
        <v>2</v>
      </c>
    </row>
    <row r="45" spans="1:6" x14ac:dyDescent="0.2">
      <c r="A45">
        <v>397</v>
      </c>
      <c r="B45" s="4">
        <v>1.6</v>
      </c>
      <c r="C45">
        <v>606</v>
      </c>
      <c r="D45" s="4">
        <v>1.6</v>
      </c>
      <c r="E45">
        <v>593</v>
      </c>
      <c r="F45" s="4">
        <v>2</v>
      </c>
    </row>
    <row r="46" spans="1:6" x14ac:dyDescent="0.2">
      <c r="A46">
        <v>160</v>
      </c>
      <c r="B46" s="4">
        <v>1.3333333333333333</v>
      </c>
      <c r="C46">
        <v>611</v>
      </c>
      <c r="D46" s="4">
        <v>2</v>
      </c>
      <c r="E46">
        <v>673</v>
      </c>
      <c r="F46" s="4">
        <v>1.75</v>
      </c>
    </row>
    <row r="47" spans="1:6" x14ac:dyDescent="0.2">
      <c r="A47">
        <v>182</v>
      </c>
      <c r="B47" s="4">
        <v>1.3333333333333333</v>
      </c>
      <c r="C47">
        <v>222</v>
      </c>
      <c r="D47" s="4">
        <v>1.3333333333333333</v>
      </c>
      <c r="E47">
        <v>548</v>
      </c>
      <c r="F47" s="4">
        <v>2</v>
      </c>
    </row>
    <row r="48" spans="1:6" x14ac:dyDescent="0.2">
      <c r="A48">
        <v>133</v>
      </c>
      <c r="B48" s="4">
        <v>1.3333333333333333</v>
      </c>
      <c r="C48">
        <v>304</v>
      </c>
      <c r="D48" s="4">
        <v>1.6666666666666667</v>
      </c>
      <c r="E48">
        <v>615</v>
      </c>
      <c r="F48" s="4">
        <v>2</v>
      </c>
    </row>
    <row r="49" spans="1:6" x14ac:dyDescent="0.2">
      <c r="A49">
        <v>221</v>
      </c>
      <c r="B49" s="4">
        <v>2</v>
      </c>
      <c r="C49">
        <v>200</v>
      </c>
      <c r="D49" s="4">
        <v>1.6666666666666667</v>
      </c>
      <c r="E49">
        <v>183</v>
      </c>
      <c r="F49" s="4">
        <v>2</v>
      </c>
    </row>
    <row r="50" spans="1:6" x14ac:dyDescent="0.2">
      <c r="A50">
        <v>204</v>
      </c>
      <c r="B50" s="4">
        <v>1.3333333333333333</v>
      </c>
      <c r="C50">
        <v>209</v>
      </c>
      <c r="D50" s="4">
        <v>1.6666666666666667</v>
      </c>
      <c r="E50">
        <v>265</v>
      </c>
      <c r="F50" s="4">
        <v>1.6666666666666667</v>
      </c>
    </row>
    <row r="51" spans="1:6" x14ac:dyDescent="0.2">
      <c r="A51">
        <v>154</v>
      </c>
      <c r="B51" s="4">
        <v>1</v>
      </c>
      <c r="C51">
        <v>277</v>
      </c>
      <c r="D51" s="4">
        <v>1.6666666666666667</v>
      </c>
      <c r="E51">
        <v>317</v>
      </c>
      <c r="F51" s="4">
        <v>2</v>
      </c>
    </row>
    <row r="52" spans="1:6" x14ac:dyDescent="0.2">
      <c r="A52">
        <v>177</v>
      </c>
      <c r="B52" s="4">
        <v>1.3333333333333333</v>
      </c>
      <c r="C52">
        <v>299</v>
      </c>
      <c r="D52" s="4">
        <v>1.3333333333333333</v>
      </c>
      <c r="E52">
        <v>296</v>
      </c>
      <c r="F52" s="4">
        <v>2</v>
      </c>
    </row>
    <row r="53" spans="1:6" x14ac:dyDescent="0.2">
      <c r="A53">
        <v>256</v>
      </c>
      <c r="B53" s="4">
        <v>2</v>
      </c>
      <c r="C53">
        <v>212</v>
      </c>
      <c r="D53" s="4">
        <v>1.6666666666666667</v>
      </c>
      <c r="E53">
        <v>318</v>
      </c>
      <c r="F53" s="4">
        <v>2</v>
      </c>
    </row>
    <row r="54" spans="1:6" x14ac:dyDescent="0.2">
      <c r="A54">
        <v>321</v>
      </c>
      <c r="B54" s="4">
        <v>1</v>
      </c>
      <c r="C54">
        <v>366</v>
      </c>
      <c r="D54" s="4">
        <v>0.66666666666666663</v>
      </c>
      <c r="E54">
        <v>323</v>
      </c>
      <c r="F54" s="4">
        <v>2</v>
      </c>
    </row>
    <row r="55" spans="1:6" x14ac:dyDescent="0.2">
      <c r="A55">
        <v>327</v>
      </c>
      <c r="B55" s="4">
        <v>2</v>
      </c>
      <c r="C55">
        <v>266</v>
      </c>
      <c r="D55" s="4">
        <v>2</v>
      </c>
      <c r="E55">
        <v>333</v>
      </c>
      <c r="F55" s="4">
        <v>2</v>
      </c>
    </row>
    <row r="56" spans="1:6" x14ac:dyDescent="0.2">
      <c r="A56">
        <v>241</v>
      </c>
      <c r="B56" s="4">
        <v>2</v>
      </c>
      <c r="C56">
        <v>251</v>
      </c>
      <c r="D56" s="4">
        <v>2</v>
      </c>
      <c r="E56">
        <v>367</v>
      </c>
      <c r="F56" s="4">
        <v>2</v>
      </c>
    </row>
    <row r="57" spans="1:6" x14ac:dyDescent="0.2">
      <c r="A57">
        <v>325</v>
      </c>
      <c r="B57" s="4">
        <v>2</v>
      </c>
      <c r="C57">
        <v>305</v>
      </c>
      <c r="D57" s="4">
        <v>2</v>
      </c>
      <c r="E57">
        <v>273</v>
      </c>
      <c r="F57" s="4">
        <v>2</v>
      </c>
    </row>
    <row r="58" spans="1:6" x14ac:dyDescent="0.2">
      <c r="A58">
        <v>199</v>
      </c>
      <c r="B58" s="4">
        <v>1.6666666666666667</v>
      </c>
      <c r="C58">
        <v>410</v>
      </c>
      <c r="D58" s="4">
        <v>2</v>
      </c>
      <c r="E58">
        <v>304</v>
      </c>
      <c r="F58" s="4">
        <v>2</v>
      </c>
    </row>
    <row r="59" spans="1:6" x14ac:dyDescent="0.2">
      <c r="A59">
        <v>266</v>
      </c>
      <c r="B59" s="4">
        <v>2</v>
      </c>
      <c r="C59">
        <v>291</v>
      </c>
      <c r="D59" s="4">
        <v>2</v>
      </c>
      <c r="E59">
        <v>324</v>
      </c>
      <c r="F59" s="4">
        <v>1.6666666666666667</v>
      </c>
    </row>
    <row r="60" spans="1:6" x14ac:dyDescent="0.2">
      <c r="A60">
        <v>268</v>
      </c>
      <c r="B60" s="4">
        <v>2</v>
      </c>
      <c r="C60">
        <v>357</v>
      </c>
      <c r="D60" s="4">
        <v>2</v>
      </c>
      <c r="E60">
        <v>257</v>
      </c>
      <c r="F60" s="4">
        <v>2</v>
      </c>
    </row>
    <row r="61" spans="1:6" x14ac:dyDescent="0.2">
      <c r="A61">
        <v>313</v>
      </c>
      <c r="B61" s="4">
        <v>2</v>
      </c>
      <c r="C61">
        <v>394</v>
      </c>
      <c r="D61" s="4">
        <v>2</v>
      </c>
      <c r="E61">
        <v>332</v>
      </c>
      <c r="F61" s="4">
        <v>1.6666666666666667</v>
      </c>
    </row>
    <row r="62" spans="1:6" x14ac:dyDescent="0.2">
      <c r="A62">
        <v>338</v>
      </c>
      <c r="B62" s="4">
        <v>2</v>
      </c>
      <c r="C62">
        <v>525</v>
      </c>
      <c r="D62" s="4">
        <v>2</v>
      </c>
      <c r="E62">
        <v>279</v>
      </c>
      <c r="F62" s="4">
        <v>2</v>
      </c>
    </row>
    <row r="63" spans="1:6" x14ac:dyDescent="0.2">
      <c r="A63">
        <v>358</v>
      </c>
      <c r="B63" s="4">
        <v>1.6666666666666667</v>
      </c>
      <c r="C63">
        <v>473</v>
      </c>
      <c r="D63" s="4">
        <v>2</v>
      </c>
      <c r="E63">
        <v>299</v>
      </c>
      <c r="F63" s="4">
        <v>2</v>
      </c>
    </row>
    <row r="64" spans="1:6" x14ac:dyDescent="0.2">
      <c r="A64">
        <v>372</v>
      </c>
      <c r="B64" s="4">
        <v>1.6666666666666667</v>
      </c>
      <c r="C64">
        <v>471</v>
      </c>
      <c r="D64" s="4">
        <v>2</v>
      </c>
      <c r="E64">
        <v>264</v>
      </c>
      <c r="F64" s="4">
        <v>2</v>
      </c>
    </row>
    <row r="65" spans="1:6" x14ac:dyDescent="0.2">
      <c r="A65">
        <v>381</v>
      </c>
      <c r="B65" s="4">
        <v>2</v>
      </c>
      <c r="C65">
        <v>432</v>
      </c>
      <c r="D65" s="4">
        <v>2</v>
      </c>
      <c r="E65">
        <v>301</v>
      </c>
      <c r="F65" s="4">
        <v>1</v>
      </c>
    </row>
    <row r="66" spans="1:6" x14ac:dyDescent="0.2">
      <c r="A66">
        <v>383</v>
      </c>
      <c r="B66" s="4">
        <v>1.6666666666666667</v>
      </c>
      <c r="C66">
        <v>219</v>
      </c>
      <c r="D66" s="4">
        <v>0</v>
      </c>
      <c r="E66">
        <v>338</v>
      </c>
      <c r="F66" s="4">
        <v>1.3333333333333333</v>
      </c>
    </row>
    <row r="67" spans="1:6" x14ac:dyDescent="0.2">
      <c r="A67">
        <v>219</v>
      </c>
      <c r="B67" s="4">
        <v>2</v>
      </c>
      <c r="C67">
        <v>243</v>
      </c>
      <c r="D67" s="4">
        <v>0</v>
      </c>
      <c r="E67">
        <v>260</v>
      </c>
      <c r="F67" s="4">
        <v>1.6666666666666667</v>
      </c>
    </row>
    <row r="68" spans="1:6" x14ac:dyDescent="0.2">
      <c r="A68">
        <v>368</v>
      </c>
      <c r="B68" s="4">
        <v>2</v>
      </c>
      <c r="C68">
        <v>297</v>
      </c>
      <c r="D68" s="4">
        <v>0</v>
      </c>
      <c r="E68">
        <v>400</v>
      </c>
      <c r="F68" s="4">
        <v>2</v>
      </c>
    </row>
    <row r="69" spans="1:6" x14ac:dyDescent="0.2">
      <c r="A69">
        <v>233</v>
      </c>
      <c r="B69" s="4">
        <v>0.75</v>
      </c>
      <c r="C69">
        <v>245</v>
      </c>
      <c r="D69" s="4">
        <v>0</v>
      </c>
      <c r="E69">
        <v>458</v>
      </c>
      <c r="F69" s="4">
        <v>2</v>
      </c>
    </row>
    <row r="70" spans="1:6" x14ac:dyDescent="0.2">
      <c r="A70">
        <v>152</v>
      </c>
      <c r="B70" s="4">
        <v>1</v>
      </c>
      <c r="C70">
        <v>504</v>
      </c>
      <c r="D70" s="4">
        <v>2</v>
      </c>
      <c r="E70">
        <v>488</v>
      </c>
      <c r="F70" s="4">
        <v>2</v>
      </c>
    </row>
    <row r="71" spans="1:6" x14ac:dyDescent="0.2">
      <c r="A71">
        <v>178</v>
      </c>
      <c r="B71" s="4">
        <v>1</v>
      </c>
      <c r="C71">
        <v>488</v>
      </c>
      <c r="D71" s="4">
        <v>2</v>
      </c>
      <c r="E71">
        <v>540</v>
      </c>
      <c r="F71" s="4">
        <v>2</v>
      </c>
    </row>
    <row r="72" spans="1:6" x14ac:dyDescent="0.2">
      <c r="A72">
        <v>150</v>
      </c>
      <c r="B72" s="4">
        <v>0.75</v>
      </c>
      <c r="C72">
        <v>326</v>
      </c>
      <c r="D72" s="4">
        <v>0.75</v>
      </c>
      <c r="E72">
        <v>509</v>
      </c>
      <c r="F72" s="4">
        <v>2</v>
      </c>
    </row>
    <row r="73" spans="1:6" x14ac:dyDescent="0.2">
      <c r="A73">
        <v>227</v>
      </c>
      <c r="B73" s="4">
        <v>1</v>
      </c>
      <c r="C73">
        <v>351</v>
      </c>
      <c r="D73" s="4">
        <v>1.25</v>
      </c>
      <c r="E73">
        <v>511</v>
      </c>
      <c r="F73" s="4">
        <v>2</v>
      </c>
    </row>
    <row r="74" spans="1:6" x14ac:dyDescent="0.2">
      <c r="A74">
        <v>189</v>
      </c>
      <c r="B74" s="4">
        <v>1</v>
      </c>
      <c r="C74">
        <v>368</v>
      </c>
      <c r="D74" s="4">
        <v>1</v>
      </c>
      <c r="E74">
        <v>521</v>
      </c>
      <c r="F74" s="4">
        <v>1.6666666666666667</v>
      </c>
    </row>
    <row r="75" spans="1:6" x14ac:dyDescent="0.2">
      <c r="A75">
        <v>145</v>
      </c>
      <c r="B75" s="4">
        <v>1</v>
      </c>
      <c r="C75">
        <v>298</v>
      </c>
      <c r="D75" s="4">
        <v>1.25</v>
      </c>
      <c r="E75">
        <v>548</v>
      </c>
      <c r="F75" s="4">
        <v>2</v>
      </c>
    </row>
    <row r="76" spans="1:6" x14ac:dyDescent="0.2">
      <c r="A76">
        <v>186</v>
      </c>
      <c r="B76" s="4">
        <v>1.75</v>
      </c>
      <c r="C76">
        <v>269</v>
      </c>
      <c r="D76" s="4">
        <v>1</v>
      </c>
      <c r="E76">
        <v>337</v>
      </c>
      <c r="F76" s="4">
        <v>0.75</v>
      </c>
    </row>
    <row r="77" spans="1:6" x14ac:dyDescent="0.2">
      <c r="A77">
        <v>186</v>
      </c>
      <c r="B77" s="4">
        <v>1</v>
      </c>
      <c r="C77">
        <v>270</v>
      </c>
      <c r="D77" s="4">
        <v>1</v>
      </c>
      <c r="E77">
        <v>320</v>
      </c>
      <c r="F77" s="4">
        <v>1.25</v>
      </c>
    </row>
    <row r="78" spans="1:6" x14ac:dyDescent="0.2">
      <c r="A78">
        <v>205</v>
      </c>
      <c r="B78" s="4">
        <v>1</v>
      </c>
      <c r="C78">
        <v>338</v>
      </c>
      <c r="D78" s="4">
        <v>1</v>
      </c>
      <c r="E78">
        <v>257</v>
      </c>
      <c r="F78" s="4">
        <v>1</v>
      </c>
    </row>
    <row r="79" spans="1:6" x14ac:dyDescent="0.2">
      <c r="A79">
        <v>226</v>
      </c>
      <c r="B79" s="4">
        <v>1.25</v>
      </c>
      <c r="C79">
        <v>292</v>
      </c>
      <c r="D79" s="4">
        <v>1</v>
      </c>
      <c r="E79">
        <v>324</v>
      </c>
      <c r="F79" s="4">
        <v>1.25</v>
      </c>
    </row>
    <row r="80" spans="1:6" x14ac:dyDescent="0.2">
      <c r="A80">
        <v>162</v>
      </c>
      <c r="B80" s="4">
        <v>1</v>
      </c>
      <c r="C80">
        <v>254</v>
      </c>
      <c r="D80" s="4">
        <v>1</v>
      </c>
      <c r="E80">
        <v>338</v>
      </c>
      <c r="F80" s="4">
        <v>1</v>
      </c>
    </row>
    <row r="81" spans="1:6" x14ac:dyDescent="0.2">
      <c r="A81">
        <v>209</v>
      </c>
      <c r="B81" s="4">
        <v>0.75</v>
      </c>
      <c r="C81">
        <v>355</v>
      </c>
      <c r="D81" s="4">
        <v>1</v>
      </c>
      <c r="E81">
        <v>294</v>
      </c>
      <c r="F81" s="4">
        <v>1</v>
      </c>
    </row>
    <row r="82" spans="1:6" x14ac:dyDescent="0.2">
      <c r="A82">
        <v>199</v>
      </c>
      <c r="B82" s="4">
        <v>0.75</v>
      </c>
      <c r="C82">
        <v>274</v>
      </c>
      <c r="D82" s="4">
        <v>1.25</v>
      </c>
      <c r="E82">
        <v>258</v>
      </c>
      <c r="F82" s="4">
        <v>1</v>
      </c>
    </row>
    <row r="83" spans="1:6" x14ac:dyDescent="0.2">
      <c r="A83">
        <v>192</v>
      </c>
      <c r="B83" s="4">
        <v>0.75</v>
      </c>
      <c r="C83">
        <v>349</v>
      </c>
      <c r="D83" s="4">
        <v>1.25</v>
      </c>
      <c r="E83">
        <v>355</v>
      </c>
      <c r="F83" s="4">
        <v>1</v>
      </c>
    </row>
    <row r="84" spans="1:6" x14ac:dyDescent="0.2">
      <c r="A84">
        <v>167</v>
      </c>
      <c r="B84" s="4">
        <v>0.75</v>
      </c>
      <c r="C84">
        <v>289</v>
      </c>
      <c r="D84" s="4">
        <v>1</v>
      </c>
      <c r="E84">
        <v>328</v>
      </c>
      <c r="F84" s="4">
        <v>1</v>
      </c>
    </row>
    <row r="85" spans="1:6" x14ac:dyDescent="0.2">
      <c r="A85">
        <v>222</v>
      </c>
      <c r="B85" s="4">
        <v>0.75</v>
      </c>
      <c r="C85">
        <v>284</v>
      </c>
      <c r="D85" s="4">
        <v>1</v>
      </c>
      <c r="E85">
        <v>283</v>
      </c>
      <c r="F85" s="4">
        <v>1</v>
      </c>
    </row>
    <row r="86" spans="1:6" x14ac:dyDescent="0.2">
      <c r="A86">
        <v>172</v>
      </c>
      <c r="B86" s="4">
        <v>1.25</v>
      </c>
      <c r="C86">
        <v>347</v>
      </c>
      <c r="D86" s="4">
        <v>1</v>
      </c>
      <c r="E86">
        <v>299</v>
      </c>
      <c r="F86" s="4">
        <v>1.25</v>
      </c>
    </row>
    <row r="87" spans="1:6" x14ac:dyDescent="0.2">
      <c r="A87">
        <v>230</v>
      </c>
      <c r="B87" s="4">
        <v>1</v>
      </c>
      <c r="C87">
        <v>365</v>
      </c>
      <c r="D87" s="4">
        <v>1</v>
      </c>
      <c r="E87">
        <v>299</v>
      </c>
      <c r="F87" s="4">
        <v>1.25</v>
      </c>
    </row>
    <row r="88" spans="1:6" x14ac:dyDescent="0.2">
      <c r="A88">
        <v>182</v>
      </c>
      <c r="B88" s="4">
        <v>1</v>
      </c>
      <c r="C88">
        <v>330</v>
      </c>
      <c r="D88" s="4">
        <v>1</v>
      </c>
      <c r="E88">
        <v>290</v>
      </c>
      <c r="F88" s="4">
        <v>1</v>
      </c>
    </row>
    <row r="89" spans="1:6" x14ac:dyDescent="0.2">
      <c r="A89">
        <v>151</v>
      </c>
      <c r="B89" s="4">
        <v>1</v>
      </c>
      <c r="C89">
        <v>338</v>
      </c>
      <c r="D89" s="4">
        <v>1.25</v>
      </c>
      <c r="E89">
        <v>284</v>
      </c>
      <c r="F89" s="4">
        <v>1.75</v>
      </c>
    </row>
    <row r="90" spans="1:6" x14ac:dyDescent="0.2">
      <c r="A90">
        <v>737</v>
      </c>
      <c r="B90" s="4">
        <v>2</v>
      </c>
      <c r="C90">
        <v>360</v>
      </c>
      <c r="D90" s="4">
        <v>1</v>
      </c>
      <c r="E90">
        <v>364</v>
      </c>
      <c r="F90" s="4">
        <v>1</v>
      </c>
    </row>
    <row r="91" spans="1:6" x14ac:dyDescent="0.2">
      <c r="A91">
        <v>432</v>
      </c>
      <c r="B91" s="4">
        <v>1</v>
      </c>
      <c r="C91">
        <v>248</v>
      </c>
      <c r="D91" s="4">
        <v>1</v>
      </c>
      <c r="E91">
        <v>267</v>
      </c>
      <c r="F91" s="4">
        <v>1</v>
      </c>
    </row>
    <row r="92" spans="1:6" x14ac:dyDescent="0.2">
      <c r="A92">
        <v>820</v>
      </c>
      <c r="B92" s="4">
        <v>2</v>
      </c>
      <c r="C92">
        <v>350</v>
      </c>
      <c r="D92" s="4">
        <v>1</v>
      </c>
      <c r="E92">
        <v>319</v>
      </c>
      <c r="F92" s="4">
        <v>1</v>
      </c>
    </row>
    <row r="93" spans="1:6" x14ac:dyDescent="0.2">
      <c r="A93">
        <v>903</v>
      </c>
      <c r="B93" s="4">
        <v>1.75</v>
      </c>
      <c r="C93">
        <v>387</v>
      </c>
      <c r="D93" s="4">
        <v>1</v>
      </c>
      <c r="E93">
        <v>294</v>
      </c>
      <c r="F93" s="4">
        <v>1.25</v>
      </c>
    </row>
    <row r="94" spans="1:6" x14ac:dyDescent="0.2">
      <c r="A94">
        <v>795</v>
      </c>
      <c r="B94" s="4">
        <v>1.75</v>
      </c>
      <c r="C94">
        <v>169</v>
      </c>
      <c r="D94" s="4">
        <v>0</v>
      </c>
      <c r="E94">
        <v>263</v>
      </c>
      <c r="F94" s="4">
        <v>1</v>
      </c>
    </row>
    <row r="95" spans="1:6" x14ac:dyDescent="0.2">
      <c r="A95">
        <v>24</v>
      </c>
      <c r="B95" s="4">
        <v>0</v>
      </c>
      <c r="C95">
        <v>914</v>
      </c>
      <c r="D95" s="4">
        <v>2</v>
      </c>
      <c r="E95">
        <v>331</v>
      </c>
      <c r="F95" s="4">
        <v>1</v>
      </c>
    </row>
    <row r="96" spans="1:6" x14ac:dyDescent="0.2">
      <c r="A96">
        <v>711</v>
      </c>
      <c r="B96" s="4">
        <v>2</v>
      </c>
      <c r="C96">
        <v>447</v>
      </c>
      <c r="D96" s="4">
        <v>1.25</v>
      </c>
      <c r="E96">
        <v>303</v>
      </c>
      <c r="F96" s="4">
        <v>2</v>
      </c>
    </row>
    <row r="97" spans="1:6" x14ac:dyDescent="0.2">
      <c r="A97">
        <v>681</v>
      </c>
      <c r="B97" s="4">
        <v>2</v>
      </c>
      <c r="C97">
        <v>502</v>
      </c>
      <c r="D97" s="4">
        <v>1.25</v>
      </c>
      <c r="E97">
        <v>318</v>
      </c>
      <c r="F97" s="4">
        <v>0</v>
      </c>
    </row>
    <row r="98" spans="1:6" x14ac:dyDescent="0.2">
      <c r="A98">
        <v>805</v>
      </c>
      <c r="B98" s="4">
        <v>2</v>
      </c>
      <c r="C98">
        <v>24</v>
      </c>
      <c r="D98" s="4">
        <v>0</v>
      </c>
      <c r="E98">
        <v>814</v>
      </c>
      <c r="F98" s="4">
        <v>2</v>
      </c>
    </row>
    <row r="99" spans="1:6" x14ac:dyDescent="0.2">
      <c r="A99">
        <v>251</v>
      </c>
      <c r="B99" s="4">
        <v>0.75</v>
      </c>
      <c r="C99">
        <v>870</v>
      </c>
      <c r="D99" s="4">
        <v>2</v>
      </c>
      <c r="E99">
        <v>759</v>
      </c>
      <c r="F99" s="4">
        <v>2</v>
      </c>
    </row>
    <row r="100" spans="1:6" x14ac:dyDescent="0.2">
      <c r="A100">
        <v>423</v>
      </c>
      <c r="B100" s="4">
        <v>1.25</v>
      </c>
      <c r="C100">
        <v>818</v>
      </c>
      <c r="D100" s="4">
        <v>1.75</v>
      </c>
      <c r="E100">
        <v>460</v>
      </c>
      <c r="F100" s="4">
        <v>1.25</v>
      </c>
    </row>
    <row r="101" spans="1:6" x14ac:dyDescent="0.2">
      <c r="A101">
        <v>461</v>
      </c>
      <c r="B101" s="4">
        <v>1.25</v>
      </c>
      <c r="C101">
        <v>779</v>
      </c>
      <c r="D101" s="4">
        <v>2</v>
      </c>
      <c r="E101">
        <v>494</v>
      </c>
      <c r="F101" s="4">
        <v>1.25</v>
      </c>
    </row>
    <row r="102" spans="1:6" x14ac:dyDescent="0.2">
      <c r="A102">
        <v>750</v>
      </c>
      <c r="B102" s="4">
        <v>2</v>
      </c>
      <c r="C102">
        <v>344</v>
      </c>
      <c r="D102" s="4">
        <v>0.75</v>
      </c>
      <c r="E102">
        <v>331</v>
      </c>
      <c r="F102" s="4">
        <v>1</v>
      </c>
    </row>
    <row r="103" spans="1:6" x14ac:dyDescent="0.2">
      <c r="A103">
        <v>754</v>
      </c>
      <c r="B103" s="4">
        <v>2</v>
      </c>
      <c r="C103">
        <v>459</v>
      </c>
      <c r="D103" s="4">
        <v>1.25</v>
      </c>
      <c r="E103">
        <v>680</v>
      </c>
      <c r="F103" s="4">
        <v>2</v>
      </c>
    </row>
    <row r="104" spans="1:6" x14ac:dyDescent="0.2">
      <c r="A104">
        <v>640</v>
      </c>
      <c r="B104" s="4">
        <v>2</v>
      </c>
      <c r="C104">
        <v>375</v>
      </c>
      <c r="D104" s="4">
        <v>1.25</v>
      </c>
      <c r="E104">
        <v>923</v>
      </c>
      <c r="F104" s="4">
        <v>2</v>
      </c>
    </row>
    <row r="105" spans="1:6" x14ac:dyDescent="0.2">
      <c r="A105">
        <v>840</v>
      </c>
      <c r="B105" s="4">
        <v>2</v>
      </c>
      <c r="C105">
        <v>362</v>
      </c>
      <c r="D105" s="4">
        <v>1</v>
      </c>
      <c r="E105">
        <v>773</v>
      </c>
      <c r="F105" s="4">
        <v>2</v>
      </c>
    </row>
    <row r="106" spans="1:6" x14ac:dyDescent="0.2">
      <c r="A106">
        <v>806</v>
      </c>
      <c r="B106" s="4">
        <v>1.75</v>
      </c>
      <c r="C106">
        <v>871</v>
      </c>
      <c r="D106" s="4">
        <v>2</v>
      </c>
      <c r="E106">
        <v>249</v>
      </c>
      <c r="F106" s="4">
        <v>1</v>
      </c>
    </row>
    <row r="107" spans="1:6" x14ac:dyDescent="0.2">
      <c r="A107">
        <v>926</v>
      </c>
      <c r="B107" s="4">
        <v>2</v>
      </c>
      <c r="C107">
        <v>394</v>
      </c>
      <c r="D107" s="4">
        <v>1</v>
      </c>
      <c r="E107">
        <v>428</v>
      </c>
      <c r="F107" s="4">
        <v>1.25</v>
      </c>
    </row>
    <row r="108" spans="1:6" x14ac:dyDescent="0.2">
      <c r="A108">
        <v>747</v>
      </c>
      <c r="B108" s="4">
        <v>2</v>
      </c>
      <c r="C108">
        <v>703</v>
      </c>
      <c r="D108" s="4">
        <v>2</v>
      </c>
      <c r="E108">
        <v>485</v>
      </c>
      <c r="F108" s="4">
        <v>1.25</v>
      </c>
    </row>
    <row r="109" spans="1:6" x14ac:dyDescent="0.2">
      <c r="A109">
        <v>756</v>
      </c>
      <c r="B109" s="4">
        <v>1.75</v>
      </c>
      <c r="C109">
        <v>861</v>
      </c>
      <c r="D109" s="4">
        <v>1.75</v>
      </c>
      <c r="E109">
        <v>420</v>
      </c>
      <c r="F109" s="4">
        <v>1</v>
      </c>
    </row>
    <row r="110" spans="1:6" x14ac:dyDescent="0.2">
      <c r="A110">
        <v>752</v>
      </c>
      <c r="B110" s="4">
        <v>2</v>
      </c>
      <c r="C110">
        <v>341</v>
      </c>
      <c r="D110" s="4">
        <v>0.75</v>
      </c>
      <c r="E110">
        <v>855</v>
      </c>
      <c r="F110" s="4">
        <v>2</v>
      </c>
    </row>
    <row r="111" spans="1:6" x14ac:dyDescent="0.2">
      <c r="A111">
        <v>438</v>
      </c>
      <c r="B111" s="4">
        <v>1</v>
      </c>
      <c r="C111">
        <v>940</v>
      </c>
      <c r="D111" s="4">
        <v>2</v>
      </c>
      <c r="E111">
        <v>798</v>
      </c>
      <c r="F111" s="4">
        <v>2</v>
      </c>
    </row>
    <row r="112" spans="1:6" x14ac:dyDescent="0.2">
      <c r="A112">
        <v>764</v>
      </c>
      <c r="B112" s="4">
        <v>2</v>
      </c>
      <c r="C112">
        <v>800</v>
      </c>
      <c r="D112" s="4">
        <v>1.5</v>
      </c>
      <c r="E112">
        <v>860</v>
      </c>
      <c r="F112" s="4">
        <v>2</v>
      </c>
    </row>
    <row r="113" spans="1:6" x14ac:dyDescent="0.2">
      <c r="A113">
        <v>415</v>
      </c>
      <c r="B113" s="4">
        <v>1</v>
      </c>
      <c r="C113">
        <v>727</v>
      </c>
      <c r="D113" s="4">
        <v>2</v>
      </c>
      <c r="E113">
        <v>843</v>
      </c>
      <c r="F113" s="4">
        <v>2</v>
      </c>
    </row>
    <row r="114" spans="1:6" x14ac:dyDescent="0.2">
      <c r="A114">
        <v>440</v>
      </c>
      <c r="B114" s="4">
        <v>1.25</v>
      </c>
      <c r="C114">
        <v>449</v>
      </c>
      <c r="D114" s="4">
        <v>1</v>
      </c>
      <c r="E114">
        <v>375</v>
      </c>
      <c r="F114" s="4">
        <v>1</v>
      </c>
    </row>
    <row r="115" spans="1:6" x14ac:dyDescent="0.2">
      <c r="A115">
        <v>422</v>
      </c>
      <c r="B115" s="4">
        <v>1.25</v>
      </c>
      <c r="C115">
        <v>944</v>
      </c>
      <c r="D115" s="4">
        <v>2</v>
      </c>
      <c r="E115">
        <v>886</v>
      </c>
      <c r="F115" s="4">
        <v>2</v>
      </c>
    </row>
    <row r="116" spans="1:6" x14ac:dyDescent="0.2">
      <c r="A116">
        <v>848</v>
      </c>
      <c r="B116" s="4">
        <v>1.75</v>
      </c>
      <c r="C116">
        <v>496</v>
      </c>
      <c r="D116" s="4">
        <v>1</v>
      </c>
      <c r="E116">
        <v>660</v>
      </c>
      <c r="F116" s="4">
        <v>2</v>
      </c>
    </row>
    <row r="117" spans="1:6" x14ac:dyDescent="0.2">
      <c r="A117">
        <v>731</v>
      </c>
      <c r="B117" s="4">
        <v>2</v>
      </c>
      <c r="C117">
        <v>470</v>
      </c>
      <c r="D117" s="4">
        <v>1.25</v>
      </c>
      <c r="E117">
        <v>796</v>
      </c>
      <c r="F117" s="4">
        <v>2</v>
      </c>
    </row>
    <row r="118" spans="1:6" x14ac:dyDescent="0.2">
      <c r="A118">
        <v>840</v>
      </c>
      <c r="B118" s="4">
        <v>2</v>
      </c>
      <c r="C118">
        <v>481</v>
      </c>
      <c r="D118" s="4">
        <v>1.25</v>
      </c>
      <c r="E118">
        <v>868</v>
      </c>
      <c r="F118" s="4">
        <v>2</v>
      </c>
    </row>
    <row r="119" spans="1:6" x14ac:dyDescent="0.2">
      <c r="A119">
        <v>681</v>
      </c>
      <c r="B119" s="4">
        <v>1.75</v>
      </c>
      <c r="C119">
        <v>548</v>
      </c>
      <c r="D119" s="4">
        <v>1.25</v>
      </c>
      <c r="E119">
        <v>1025</v>
      </c>
      <c r="F119" s="4">
        <v>2</v>
      </c>
    </row>
    <row r="120" spans="1:6" x14ac:dyDescent="0.2">
      <c r="A120">
        <v>859</v>
      </c>
      <c r="B120" s="4">
        <v>2</v>
      </c>
      <c r="C120">
        <v>578</v>
      </c>
      <c r="D120" s="4">
        <v>2</v>
      </c>
      <c r="E120">
        <v>486</v>
      </c>
      <c r="F120" s="4">
        <v>1</v>
      </c>
    </row>
    <row r="121" spans="1:6" x14ac:dyDescent="0.2">
      <c r="A121">
        <v>399</v>
      </c>
      <c r="B121" s="4">
        <v>1.25</v>
      </c>
      <c r="C121">
        <v>844</v>
      </c>
      <c r="D121" s="4">
        <v>2</v>
      </c>
      <c r="E121">
        <v>358</v>
      </c>
      <c r="F121" s="4">
        <v>1.25</v>
      </c>
    </row>
    <row r="122" spans="1:6" x14ac:dyDescent="0.2">
      <c r="A122">
        <v>805</v>
      </c>
      <c r="B122" s="4">
        <v>2</v>
      </c>
      <c r="C122">
        <v>878</v>
      </c>
      <c r="D122" s="4">
        <v>1.75</v>
      </c>
      <c r="E122">
        <v>475</v>
      </c>
      <c r="F122" s="4">
        <v>1.25</v>
      </c>
    </row>
    <row r="123" spans="1:6" x14ac:dyDescent="0.2">
      <c r="A123">
        <v>767</v>
      </c>
      <c r="B123" s="4">
        <v>1.5</v>
      </c>
      <c r="C123">
        <v>836</v>
      </c>
      <c r="D123" s="4">
        <v>2</v>
      </c>
      <c r="E123">
        <v>423</v>
      </c>
      <c r="F123" s="4">
        <v>1.25</v>
      </c>
    </row>
    <row r="124" spans="1:6" x14ac:dyDescent="0.2">
      <c r="A124">
        <v>794</v>
      </c>
      <c r="B124" s="4">
        <v>2</v>
      </c>
      <c r="C124">
        <v>528</v>
      </c>
      <c r="D124" s="4">
        <v>1.25</v>
      </c>
      <c r="E124">
        <v>976</v>
      </c>
      <c r="F124" s="4">
        <v>1.75</v>
      </c>
    </row>
    <row r="125" spans="1:6" x14ac:dyDescent="0.2">
      <c r="A125">
        <v>707</v>
      </c>
      <c r="B125" s="4">
        <v>1.75</v>
      </c>
      <c r="C125">
        <v>341</v>
      </c>
      <c r="D125" s="4">
        <v>1</v>
      </c>
      <c r="E125">
        <v>851</v>
      </c>
      <c r="F125" s="4">
        <v>2</v>
      </c>
    </row>
    <row r="126" spans="1:6" x14ac:dyDescent="0.2">
      <c r="A126">
        <v>535</v>
      </c>
      <c r="B126" s="4">
        <v>1.25</v>
      </c>
      <c r="C126">
        <v>399</v>
      </c>
      <c r="D126" s="4">
        <v>1.25</v>
      </c>
      <c r="E126">
        <v>849</v>
      </c>
      <c r="F126" s="4">
        <v>1.75</v>
      </c>
    </row>
    <row r="127" spans="1:6" x14ac:dyDescent="0.2">
      <c r="A127">
        <v>174</v>
      </c>
      <c r="B127" s="4">
        <v>0.75</v>
      </c>
      <c r="C127">
        <v>972</v>
      </c>
      <c r="D127" s="4">
        <v>2</v>
      </c>
      <c r="E127">
        <v>825</v>
      </c>
      <c r="F127" s="4">
        <v>2</v>
      </c>
    </row>
    <row r="128" spans="1:6" x14ac:dyDescent="0.2">
      <c r="A128">
        <v>680</v>
      </c>
      <c r="B128" s="4">
        <v>2</v>
      </c>
      <c r="C128">
        <v>750</v>
      </c>
      <c r="D128" s="4">
        <v>1.75</v>
      </c>
      <c r="E128">
        <v>520</v>
      </c>
      <c r="F128" s="4">
        <v>1.25</v>
      </c>
    </row>
    <row r="129" spans="1:6" x14ac:dyDescent="0.2">
      <c r="A129">
        <v>410</v>
      </c>
      <c r="B129" s="4">
        <v>1.25</v>
      </c>
      <c r="C129">
        <v>605</v>
      </c>
      <c r="D129" s="4">
        <v>1.25</v>
      </c>
      <c r="E129">
        <v>904</v>
      </c>
      <c r="F129" s="4">
        <v>2</v>
      </c>
    </row>
    <row r="130" spans="1:6" x14ac:dyDescent="0.2">
      <c r="A130">
        <v>746</v>
      </c>
      <c r="B130" s="4">
        <v>1.75</v>
      </c>
      <c r="C130">
        <v>408</v>
      </c>
      <c r="D130" s="4">
        <v>1.25</v>
      </c>
      <c r="E130">
        <v>484</v>
      </c>
      <c r="F130" s="4">
        <v>1.25</v>
      </c>
    </row>
    <row r="131" spans="1:6" x14ac:dyDescent="0.2">
      <c r="A131">
        <v>793</v>
      </c>
      <c r="B131" s="4">
        <v>1.75</v>
      </c>
      <c r="C131">
        <v>784</v>
      </c>
      <c r="D131" s="4">
        <v>2</v>
      </c>
      <c r="E131">
        <v>739</v>
      </c>
      <c r="F131" s="4">
        <v>2</v>
      </c>
    </row>
    <row r="132" spans="1:6" x14ac:dyDescent="0.2">
      <c r="A132">
        <v>711</v>
      </c>
      <c r="B132" s="4">
        <v>1.75</v>
      </c>
      <c r="C132">
        <v>464</v>
      </c>
      <c r="D132" s="4">
        <v>1.25</v>
      </c>
      <c r="E132">
        <v>799</v>
      </c>
      <c r="F132" s="4">
        <v>1.75</v>
      </c>
    </row>
    <row r="133" spans="1:6" x14ac:dyDescent="0.2">
      <c r="A133">
        <v>477</v>
      </c>
      <c r="B133" s="4">
        <v>1</v>
      </c>
      <c r="C133">
        <v>24</v>
      </c>
      <c r="D133" s="4">
        <v>0</v>
      </c>
      <c r="E133">
        <v>524</v>
      </c>
      <c r="F133" s="4">
        <v>1.25</v>
      </c>
    </row>
    <row r="134" spans="1:6" x14ac:dyDescent="0.2">
      <c r="A134">
        <v>223</v>
      </c>
      <c r="B134" s="4">
        <v>1</v>
      </c>
      <c r="C134">
        <v>472</v>
      </c>
      <c r="D134" s="4">
        <v>1.25</v>
      </c>
      <c r="E134">
        <v>401</v>
      </c>
      <c r="F134" s="4">
        <v>1.25</v>
      </c>
    </row>
    <row r="135" spans="1:6" x14ac:dyDescent="0.2">
      <c r="A135">
        <v>753</v>
      </c>
      <c r="B135" s="4">
        <v>1.75</v>
      </c>
      <c r="C135">
        <v>24</v>
      </c>
      <c r="D135" s="4">
        <v>0</v>
      </c>
      <c r="E135">
        <v>781</v>
      </c>
      <c r="F135" s="4">
        <v>2</v>
      </c>
    </row>
    <row r="136" spans="1:6" x14ac:dyDescent="0.2">
      <c r="A136">
        <v>172</v>
      </c>
      <c r="B136" s="4">
        <v>1</v>
      </c>
      <c r="C136">
        <v>496</v>
      </c>
      <c r="D136" s="4">
        <v>1</v>
      </c>
      <c r="E136">
        <v>506</v>
      </c>
      <c r="F136" s="4">
        <v>1.25</v>
      </c>
    </row>
    <row r="137" spans="1:6" x14ac:dyDescent="0.2">
      <c r="A137">
        <v>468</v>
      </c>
      <c r="B137" s="4">
        <v>1.25</v>
      </c>
      <c r="C137">
        <v>359</v>
      </c>
      <c r="D137" s="4">
        <v>1.25</v>
      </c>
      <c r="E137">
        <v>320</v>
      </c>
      <c r="F137" s="4">
        <v>1.25</v>
      </c>
    </row>
    <row r="138" spans="1:6" x14ac:dyDescent="0.2">
      <c r="A138">
        <v>775</v>
      </c>
      <c r="B138" s="4">
        <v>2</v>
      </c>
      <c r="C138">
        <v>448</v>
      </c>
      <c r="D138" s="4">
        <v>1.25</v>
      </c>
      <c r="E138">
        <v>486</v>
      </c>
      <c r="F138" s="4">
        <v>2</v>
      </c>
    </row>
    <row r="139" spans="1:6" x14ac:dyDescent="0.2">
      <c r="A139">
        <v>689</v>
      </c>
      <c r="B139" s="4">
        <v>2</v>
      </c>
      <c r="C139">
        <v>24</v>
      </c>
      <c r="D139" s="4">
        <v>0</v>
      </c>
      <c r="E139">
        <v>399</v>
      </c>
      <c r="F139" s="4">
        <v>1.25</v>
      </c>
    </row>
    <row r="140" spans="1:6" x14ac:dyDescent="0.2">
      <c r="A140">
        <v>197</v>
      </c>
      <c r="B140" s="4">
        <v>0.25</v>
      </c>
      <c r="C140">
        <v>386</v>
      </c>
      <c r="D140" s="4">
        <v>1.25</v>
      </c>
      <c r="E140">
        <v>831</v>
      </c>
      <c r="F140" s="4">
        <v>2</v>
      </c>
    </row>
    <row r="141" spans="1:6" x14ac:dyDescent="0.2">
      <c r="A141">
        <v>717</v>
      </c>
      <c r="B141" s="4">
        <v>2</v>
      </c>
      <c r="C141">
        <v>368</v>
      </c>
      <c r="D141" s="4">
        <v>1</v>
      </c>
      <c r="E141">
        <v>491</v>
      </c>
      <c r="F141" s="4">
        <v>1.25</v>
      </c>
    </row>
    <row r="142" spans="1:6" x14ac:dyDescent="0.2">
      <c r="A142">
        <v>795</v>
      </c>
      <c r="B142" s="4">
        <v>2</v>
      </c>
      <c r="C142">
        <v>472</v>
      </c>
      <c r="D142" s="4">
        <v>1</v>
      </c>
      <c r="E142">
        <v>508</v>
      </c>
      <c r="F142" s="4">
        <v>1.25</v>
      </c>
    </row>
    <row r="143" spans="1:6" x14ac:dyDescent="0.2">
      <c r="A143">
        <v>198</v>
      </c>
      <c r="B143" s="4">
        <v>1</v>
      </c>
      <c r="C143">
        <v>422</v>
      </c>
      <c r="D143" s="4">
        <v>1.25</v>
      </c>
      <c r="E143">
        <v>862</v>
      </c>
      <c r="F143" s="4">
        <v>2</v>
      </c>
    </row>
    <row r="144" spans="1:6" x14ac:dyDescent="0.2">
      <c r="A144">
        <v>587</v>
      </c>
      <c r="B144" s="4">
        <v>2</v>
      </c>
      <c r="C144">
        <v>338</v>
      </c>
      <c r="D144" s="4">
        <v>1</v>
      </c>
      <c r="E144">
        <v>434</v>
      </c>
      <c r="F144" s="4">
        <v>1.25</v>
      </c>
    </row>
    <row r="145" spans="1:6" x14ac:dyDescent="0.2">
      <c r="A145">
        <v>485</v>
      </c>
      <c r="B145" s="4">
        <v>1.25</v>
      </c>
      <c r="C145">
        <v>421</v>
      </c>
      <c r="D145" s="4">
        <v>1</v>
      </c>
      <c r="E145">
        <v>441</v>
      </c>
      <c r="F145" s="4">
        <v>1</v>
      </c>
    </row>
    <row r="146" spans="1:6" x14ac:dyDescent="0.2">
      <c r="A146">
        <v>465</v>
      </c>
      <c r="B146" s="4">
        <v>1.25</v>
      </c>
      <c r="C146">
        <v>24</v>
      </c>
      <c r="D146" s="4">
        <v>0</v>
      </c>
      <c r="E146">
        <v>423</v>
      </c>
      <c r="F146" s="4">
        <v>1</v>
      </c>
    </row>
    <row r="147" spans="1:6" x14ac:dyDescent="0.2">
      <c r="A147">
        <v>798</v>
      </c>
      <c r="B147" s="4">
        <v>2</v>
      </c>
      <c r="C147">
        <v>444</v>
      </c>
      <c r="D147" s="4">
        <v>1</v>
      </c>
      <c r="E147">
        <v>525</v>
      </c>
      <c r="F147" s="4">
        <v>1.25</v>
      </c>
    </row>
    <row r="148" spans="1:6" x14ac:dyDescent="0.2">
      <c r="A148">
        <v>741</v>
      </c>
      <c r="B148" s="4">
        <v>1.75</v>
      </c>
      <c r="C148">
        <v>388</v>
      </c>
      <c r="D148" s="4">
        <v>1.25</v>
      </c>
      <c r="E148">
        <v>458</v>
      </c>
      <c r="F148" s="4">
        <v>1</v>
      </c>
    </row>
    <row r="149" spans="1:6" x14ac:dyDescent="0.2">
      <c r="A149">
        <v>449</v>
      </c>
      <c r="B149" s="4">
        <v>1.25</v>
      </c>
      <c r="C149">
        <v>826</v>
      </c>
      <c r="D149" s="4">
        <v>1.75</v>
      </c>
      <c r="E149">
        <v>407</v>
      </c>
      <c r="F149" s="4">
        <v>1</v>
      </c>
    </row>
    <row r="150" spans="1:6" x14ac:dyDescent="0.2">
      <c r="A150">
        <v>411</v>
      </c>
      <c r="B150" s="4">
        <v>1.25</v>
      </c>
      <c r="C150">
        <v>967</v>
      </c>
      <c r="D150" s="4">
        <v>2</v>
      </c>
      <c r="E150">
        <v>285</v>
      </c>
      <c r="F150" s="4">
        <v>1</v>
      </c>
    </row>
    <row r="151" spans="1:6" x14ac:dyDescent="0.2">
      <c r="A151">
        <v>472</v>
      </c>
      <c r="B151" s="4">
        <v>1</v>
      </c>
      <c r="C151">
        <v>852</v>
      </c>
      <c r="D151" s="4">
        <v>1.75</v>
      </c>
      <c r="E151">
        <v>451</v>
      </c>
      <c r="F151" s="4">
        <v>1</v>
      </c>
    </row>
    <row r="152" spans="1:6" x14ac:dyDescent="0.2">
      <c r="A152">
        <v>492</v>
      </c>
      <c r="B152" s="4">
        <v>1.25</v>
      </c>
      <c r="C152">
        <v>553</v>
      </c>
      <c r="D152" s="4">
        <v>1.25</v>
      </c>
      <c r="E152">
        <v>465</v>
      </c>
      <c r="F152" s="4">
        <v>1.25</v>
      </c>
    </row>
    <row r="153" spans="1:6" x14ac:dyDescent="0.2">
      <c r="A153">
        <v>676</v>
      </c>
      <c r="B153" s="4">
        <v>0</v>
      </c>
      <c r="C153">
        <v>971</v>
      </c>
      <c r="D153" s="4">
        <v>1.75</v>
      </c>
      <c r="E153">
        <v>507</v>
      </c>
      <c r="F153" s="4">
        <v>1.25</v>
      </c>
    </row>
    <row r="154" spans="1:6" x14ac:dyDescent="0.2">
      <c r="A154">
        <v>451</v>
      </c>
      <c r="B154" s="4">
        <v>2</v>
      </c>
      <c r="C154">
        <v>528</v>
      </c>
      <c r="D154" s="4">
        <v>1</v>
      </c>
      <c r="E154">
        <v>888</v>
      </c>
      <c r="F154" s="4">
        <v>2</v>
      </c>
    </row>
    <row r="155" spans="1:6" x14ac:dyDescent="0.2">
      <c r="A155">
        <v>587</v>
      </c>
      <c r="B155" s="4">
        <v>2</v>
      </c>
      <c r="C155">
        <v>454</v>
      </c>
      <c r="D155" s="4">
        <v>1.25</v>
      </c>
      <c r="E155">
        <v>806</v>
      </c>
      <c r="F155" s="4">
        <v>1.75</v>
      </c>
    </row>
    <row r="156" spans="1:6" x14ac:dyDescent="0.2">
      <c r="A156">
        <v>882</v>
      </c>
      <c r="B156" s="4">
        <v>2</v>
      </c>
      <c r="C156">
        <v>434</v>
      </c>
      <c r="D156" s="4">
        <v>2</v>
      </c>
      <c r="E156">
        <v>544</v>
      </c>
      <c r="F156" s="4">
        <v>1.25</v>
      </c>
    </row>
    <row r="157" spans="1:6" x14ac:dyDescent="0.2">
      <c r="A157">
        <v>768</v>
      </c>
      <c r="B157" s="4">
        <v>2</v>
      </c>
      <c r="C157">
        <v>508</v>
      </c>
      <c r="D157" s="4">
        <v>2</v>
      </c>
      <c r="E157">
        <v>437</v>
      </c>
      <c r="F157" s="4">
        <v>1.25</v>
      </c>
    </row>
    <row r="158" spans="1:6" x14ac:dyDescent="0.2">
      <c r="A158">
        <v>251</v>
      </c>
      <c r="B158" s="4">
        <v>1.5</v>
      </c>
      <c r="C158">
        <v>587</v>
      </c>
      <c r="D158" s="4">
        <v>2</v>
      </c>
      <c r="E158">
        <v>508</v>
      </c>
      <c r="F158" s="4">
        <v>1</v>
      </c>
    </row>
    <row r="159" spans="1:6" x14ac:dyDescent="0.2">
      <c r="A159">
        <v>283</v>
      </c>
      <c r="B159" s="4">
        <v>1.5</v>
      </c>
      <c r="C159">
        <v>761</v>
      </c>
      <c r="D159" s="4">
        <v>2</v>
      </c>
      <c r="E159">
        <v>444</v>
      </c>
      <c r="F159" s="4">
        <v>1.25</v>
      </c>
    </row>
    <row r="160" spans="1:6" x14ac:dyDescent="0.2">
      <c r="A160">
        <v>377</v>
      </c>
      <c r="B160" s="4">
        <v>1.5</v>
      </c>
      <c r="C160">
        <v>1003</v>
      </c>
      <c r="D160" s="4">
        <v>2</v>
      </c>
      <c r="E160">
        <v>481</v>
      </c>
      <c r="F160" s="4">
        <v>2</v>
      </c>
    </row>
    <row r="161" spans="2:6" x14ac:dyDescent="0.2">
      <c r="C161">
        <v>609</v>
      </c>
      <c r="D161" s="4">
        <v>1.5</v>
      </c>
      <c r="E161">
        <v>499</v>
      </c>
      <c r="F161" s="4">
        <v>2</v>
      </c>
    </row>
    <row r="162" spans="2:6" x14ac:dyDescent="0.2">
      <c r="C162">
        <v>636</v>
      </c>
      <c r="D162" s="4">
        <v>1.5</v>
      </c>
      <c r="E162">
        <v>450</v>
      </c>
      <c r="F162" s="4">
        <v>2</v>
      </c>
    </row>
    <row r="163" spans="2:6" x14ac:dyDescent="0.2">
      <c r="C163">
        <v>589</v>
      </c>
      <c r="D163" s="4">
        <v>1.5</v>
      </c>
      <c r="E163">
        <v>490</v>
      </c>
      <c r="F163" s="4">
        <v>1</v>
      </c>
    </row>
    <row r="164" spans="2:6" x14ac:dyDescent="0.2">
      <c r="E164">
        <v>992</v>
      </c>
      <c r="F164" s="4">
        <v>2</v>
      </c>
    </row>
    <row r="165" spans="2:6" x14ac:dyDescent="0.2">
      <c r="E165">
        <v>570</v>
      </c>
      <c r="F165" s="4">
        <v>2</v>
      </c>
    </row>
    <row r="166" spans="2:6" x14ac:dyDescent="0.2">
      <c r="E166">
        <v>707</v>
      </c>
      <c r="F166" s="4">
        <v>2</v>
      </c>
    </row>
    <row r="167" spans="2:6" x14ac:dyDescent="0.2">
      <c r="E167">
        <v>665</v>
      </c>
      <c r="F167" s="4">
        <v>2</v>
      </c>
    </row>
    <row r="168" spans="2:6" x14ac:dyDescent="0.2">
      <c r="B168" s="4"/>
    </row>
    <row r="169" spans="2:6" x14ac:dyDescent="0.2">
      <c r="B169" s="4"/>
    </row>
    <row r="170" spans="2:6" x14ac:dyDescent="0.2">
      <c r="B170" s="4"/>
    </row>
    <row r="171" spans="2:6" x14ac:dyDescent="0.2">
      <c r="B171" s="4"/>
    </row>
    <row r="172" spans="2:6" x14ac:dyDescent="0.2">
      <c r="B172" s="4"/>
    </row>
    <row r="173" spans="2:6" x14ac:dyDescent="0.2">
      <c r="B173" s="4"/>
    </row>
    <row r="174" spans="2:6" x14ac:dyDescent="0.2">
      <c r="B174" s="4"/>
    </row>
    <row r="175" spans="2:6" x14ac:dyDescent="0.2">
      <c r="B175" s="4"/>
    </row>
    <row r="176" spans="2:6" x14ac:dyDescent="0.2">
      <c r="B176" s="4"/>
    </row>
    <row r="177" spans="2:2" x14ac:dyDescent="0.2">
      <c r="B177" s="4"/>
    </row>
    <row r="178" spans="2:2" x14ac:dyDescent="0.2">
      <c r="B178" s="4"/>
    </row>
    <row r="179" spans="2:2" x14ac:dyDescent="0.2">
      <c r="B179" s="4"/>
    </row>
    <row r="180" spans="2:2" x14ac:dyDescent="0.2">
      <c r="B180" s="4"/>
    </row>
    <row r="181" spans="2:2" x14ac:dyDescent="0.2">
      <c r="B181" s="4"/>
    </row>
    <row r="182" spans="2:2" x14ac:dyDescent="0.2">
      <c r="B182" s="4"/>
    </row>
    <row r="183" spans="2:2" x14ac:dyDescent="0.2">
      <c r="B183" s="4"/>
    </row>
    <row r="184" spans="2:2" x14ac:dyDescent="0.2">
      <c r="B184" s="4"/>
    </row>
    <row r="185" spans="2:2" x14ac:dyDescent="0.2">
      <c r="B185" s="4"/>
    </row>
    <row r="186" spans="2:2" x14ac:dyDescent="0.2">
      <c r="B186" s="4"/>
    </row>
    <row r="187" spans="2:2" x14ac:dyDescent="0.2">
      <c r="B187" s="4"/>
    </row>
    <row r="188" spans="2:2" x14ac:dyDescent="0.2">
      <c r="B188" s="4"/>
    </row>
    <row r="189" spans="2:2" x14ac:dyDescent="0.2">
      <c r="B189" s="4"/>
    </row>
    <row r="190" spans="2:2" x14ac:dyDescent="0.2">
      <c r="B190" s="4"/>
    </row>
    <row r="191" spans="2:2" x14ac:dyDescent="0.2">
      <c r="B191" s="4"/>
    </row>
    <row r="192" spans="2:2" x14ac:dyDescent="0.2">
      <c r="B192" s="4"/>
    </row>
    <row r="193" spans="2:2" x14ac:dyDescent="0.2">
      <c r="B193" s="4"/>
    </row>
    <row r="194" spans="2:2" x14ac:dyDescent="0.2">
      <c r="B194" s="4"/>
    </row>
    <row r="195" spans="2:2" x14ac:dyDescent="0.2">
      <c r="B195" s="4"/>
    </row>
    <row r="196" spans="2:2" x14ac:dyDescent="0.2">
      <c r="B196" s="4"/>
    </row>
    <row r="197" spans="2:2" x14ac:dyDescent="0.2">
      <c r="B197" s="4"/>
    </row>
    <row r="198" spans="2:2" x14ac:dyDescent="0.2">
      <c r="B198" s="4"/>
    </row>
    <row r="199" spans="2:2" x14ac:dyDescent="0.2">
      <c r="B199" s="4"/>
    </row>
    <row r="200" spans="2:2" x14ac:dyDescent="0.2">
      <c r="B200" s="4"/>
    </row>
    <row r="201" spans="2:2" x14ac:dyDescent="0.2">
      <c r="B201" s="4"/>
    </row>
    <row r="202" spans="2:2" x14ac:dyDescent="0.2">
      <c r="B202" s="4"/>
    </row>
    <row r="203" spans="2:2" x14ac:dyDescent="0.2">
      <c r="B203" s="4"/>
    </row>
    <row r="204" spans="2:2" x14ac:dyDescent="0.2">
      <c r="B204" s="4"/>
    </row>
    <row r="205" spans="2:2" x14ac:dyDescent="0.2">
      <c r="B205" s="4"/>
    </row>
    <row r="206" spans="2:2" x14ac:dyDescent="0.2">
      <c r="B206" s="4"/>
    </row>
    <row r="207" spans="2:2" x14ac:dyDescent="0.2">
      <c r="B207" s="4"/>
    </row>
    <row r="208" spans="2:2" x14ac:dyDescent="0.2">
      <c r="B208" s="4"/>
    </row>
    <row r="209" spans="2:2" x14ac:dyDescent="0.2">
      <c r="B209" s="4"/>
    </row>
    <row r="210" spans="2:2" x14ac:dyDescent="0.2">
      <c r="B210" s="4"/>
    </row>
    <row r="211" spans="2:2" x14ac:dyDescent="0.2">
      <c r="B211" s="4"/>
    </row>
    <row r="212" spans="2:2" x14ac:dyDescent="0.2">
      <c r="B212" s="4"/>
    </row>
    <row r="213" spans="2:2" x14ac:dyDescent="0.2">
      <c r="B213" s="4"/>
    </row>
    <row r="214" spans="2:2" x14ac:dyDescent="0.2">
      <c r="B214" s="4"/>
    </row>
    <row r="215" spans="2:2" x14ac:dyDescent="0.2">
      <c r="B215" s="4"/>
    </row>
    <row r="216" spans="2:2" x14ac:dyDescent="0.2">
      <c r="B216" s="4"/>
    </row>
    <row r="217" spans="2:2" x14ac:dyDescent="0.2">
      <c r="B217" s="4"/>
    </row>
    <row r="218" spans="2:2" x14ac:dyDescent="0.2">
      <c r="B218" s="4"/>
    </row>
    <row r="219" spans="2:2" x14ac:dyDescent="0.2">
      <c r="B219" s="4"/>
    </row>
    <row r="220" spans="2:2" x14ac:dyDescent="0.2">
      <c r="B220" s="4"/>
    </row>
    <row r="221" spans="2:2" x14ac:dyDescent="0.2">
      <c r="B221" s="4"/>
    </row>
    <row r="222" spans="2:2" x14ac:dyDescent="0.2">
      <c r="B222" s="4"/>
    </row>
    <row r="223" spans="2:2" x14ac:dyDescent="0.2">
      <c r="B223" s="4"/>
    </row>
    <row r="224" spans="2:2" x14ac:dyDescent="0.2">
      <c r="B224" s="4"/>
    </row>
    <row r="225" spans="2:2" x14ac:dyDescent="0.2">
      <c r="B225" s="4"/>
    </row>
    <row r="226" spans="2:2" x14ac:dyDescent="0.2">
      <c r="B226" s="4"/>
    </row>
    <row r="227" spans="2:2" x14ac:dyDescent="0.2">
      <c r="B227" s="4"/>
    </row>
    <row r="228" spans="2:2" x14ac:dyDescent="0.2">
      <c r="B228" s="4"/>
    </row>
    <row r="229" spans="2:2" x14ac:dyDescent="0.2">
      <c r="B229" s="4"/>
    </row>
    <row r="230" spans="2:2" x14ac:dyDescent="0.2">
      <c r="B230" s="4"/>
    </row>
    <row r="231" spans="2:2" x14ac:dyDescent="0.2">
      <c r="B231" s="4"/>
    </row>
    <row r="232" spans="2:2" x14ac:dyDescent="0.2">
      <c r="B232" s="4"/>
    </row>
    <row r="233" spans="2:2" x14ac:dyDescent="0.2">
      <c r="B233" s="4"/>
    </row>
    <row r="234" spans="2:2" x14ac:dyDescent="0.2">
      <c r="B234" s="4"/>
    </row>
    <row r="235" spans="2:2" x14ac:dyDescent="0.2">
      <c r="B235" s="4"/>
    </row>
    <row r="236" spans="2:2" x14ac:dyDescent="0.2">
      <c r="B236" s="4"/>
    </row>
    <row r="237" spans="2:2" x14ac:dyDescent="0.2">
      <c r="B237" s="4"/>
    </row>
    <row r="238" spans="2:2" x14ac:dyDescent="0.2">
      <c r="B238" s="4"/>
    </row>
    <row r="239" spans="2:2" x14ac:dyDescent="0.2">
      <c r="B239" s="4"/>
    </row>
    <row r="240" spans="2:2" x14ac:dyDescent="0.2">
      <c r="B240" s="4"/>
    </row>
    <row r="241" spans="2:2" x14ac:dyDescent="0.2">
      <c r="B241" s="4"/>
    </row>
    <row r="242" spans="2:2" x14ac:dyDescent="0.2">
      <c r="B242" s="4"/>
    </row>
    <row r="243" spans="2:2" x14ac:dyDescent="0.2">
      <c r="B243" s="4"/>
    </row>
    <row r="244" spans="2:2" x14ac:dyDescent="0.2">
      <c r="B244" s="4"/>
    </row>
    <row r="245" spans="2:2" x14ac:dyDescent="0.2">
      <c r="B245" s="4"/>
    </row>
    <row r="246" spans="2:2" x14ac:dyDescent="0.2">
      <c r="B246" s="4"/>
    </row>
    <row r="247" spans="2:2" x14ac:dyDescent="0.2">
      <c r="B247" s="4"/>
    </row>
    <row r="248" spans="2:2" x14ac:dyDescent="0.2">
      <c r="B248" s="4"/>
    </row>
    <row r="249" spans="2:2" x14ac:dyDescent="0.2">
      <c r="B249" s="4"/>
    </row>
    <row r="250" spans="2:2" x14ac:dyDescent="0.2">
      <c r="B250" s="4"/>
    </row>
    <row r="251" spans="2:2" x14ac:dyDescent="0.2">
      <c r="B251" s="4"/>
    </row>
    <row r="252" spans="2:2" x14ac:dyDescent="0.2">
      <c r="B252" s="4"/>
    </row>
    <row r="253" spans="2:2" x14ac:dyDescent="0.2">
      <c r="B253" s="4"/>
    </row>
    <row r="254" spans="2:2" x14ac:dyDescent="0.2">
      <c r="B254" s="4"/>
    </row>
    <row r="255" spans="2:2" x14ac:dyDescent="0.2">
      <c r="B255" s="4"/>
    </row>
    <row r="256" spans="2:2" x14ac:dyDescent="0.2">
      <c r="B256" s="4"/>
    </row>
    <row r="257" spans="2:2" x14ac:dyDescent="0.2">
      <c r="B257" s="4"/>
    </row>
    <row r="258" spans="2:2" x14ac:dyDescent="0.2">
      <c r="B258" s="4"/>
    </row>
    <row r="259" spans="2:2" x14ac:dyDescent="0.2">
      <c r="B259" s="4"/>
    </row>
    <row r="260" spans="2:2" x14ac:dyDescent="0.2">
      <c r="B260" s="4"/>
    </row>
    <row r="261" spans="2:2" x14ac:dyDescent="0.2">
      <c r="B261" s="4"/>
    </row>
    <row r="262" spans="2:2" x14ac:dyDescent="0.2">
      <c r="B262" s="4"/>
    </row>
    <row r="263" spans="2:2" x14ac:dyDescent="0.2">
      <c r="B263" s="4"/>
    </row>
    <row r="264" spans="2:2" x14ac:dyDescent="0.2">
      <c r="B264" s="4"/>
    </row>
    <row r="265" spans="2:2" x14ac:dyDescent="0.2">
      <c r="B265" s="4"/>
    </row>
    <row r="266" spans="2:2" x14ac:dyDescent="0.2">
      <c r="B266" s="4"/>
    </row>
    <row r="267" spans="2:2" x14ac:dyDescent="0.2">
      <c r="B267" s="4"/>
    </row>
    <row r="268" spans="2:2" x14ac:dyDescent="0.2">
      <c r="B268" s="4"/>
    </row>
    <row r="269" spans="2:2" x14ac:dyDescent="0.2">
      <c r="B269" s="4"/>
    </row>
    <row r="270" spans="2:2" x14ac:dyDescent="0.2">
      <c r="B270" s="4"/>
    </row>
    <row r="271" spans="2:2" x14ac:dyDescent="0.2">
      <c r="B271" s="4"/>
    </row>
    <row r="272" spans="2:2" x14ac:dyDescent="0.2">
      <c r="B272" s="4"/>
    </row>
    <row r="273" spans="2:2" x14ac:dyDescent="0.2">
      <c r="B273" s="4"/>
    </row>
    <row r="274" spans="2:2" x14ac:dyDescent="0.2">
      <c r="B274" s="4"/>
    </row>
    <row r="275" spans="2:2" x14ac:dyDescent="0.2">
      <c r="B275" s="4"/>
    </row>
    <row r="276" spans="2:2" x14ac:dyDescent="0.2">
      <c r="B276" s="4"/>
    </row>
    <row r="277" spans="2:2" x14ac:dyDescent="0.2">
      <c r="B277" s="4"/>
    </row>
    <row r="278" spans="2:2" x14ac:dyDescent="0.2">
      <c r="B278" s="4"/>
    </row>
    <row r="279" spans="2:2" x14ac:dyDescent="0.2">
      <c r="B279" s="4"/>
    </row>
    <row r="280" spans="2:2" x14ac:dyDescent="0.2">
      <c r="B280" s="4"/>
    </row>
    <row r="281" spans="2:2" x14ac:dyDescent="0.2">
      <c r="B281" s="4"/>
    </row>
    <row r="282" spans="2:2" x14ac:dyDescent="0.2">
      <c r="B282" s="4"/>
    </row>
    <row r="283" spans="2:2" x14ac:dyDescent="0.2">
      <c r="B283" s="4"/>
    </row>
    <row r="284" spans="2:2" x14ac:dyDescent="0.2">
      <c r="B284" s="4"/>
    </row>
    <row r="285" spans="2:2" x14ac:dyDescent="0.2">
      <c r="B285" s="4"/>
    </row>
    <row r="286" spans="2:2" x14ac:dyDescent="0.2">
      <c r="B286" s="4"/>
    </row>
    <row r="287" spans="2:2" x14ac:dyDescent="0.2">
      <c r="B287" s="4"/>
    </row>
    <row r="288" spans="2:2" x14ac:dyDescent="0.2">
      <c r="B288" s="4"/>
    </row>
    <row r="289" spans="2:2" x14ac:dyDescent="0.2">
      <c r="B289" s="4"/>
    </row>
    <row r="290" spans="2:2" x14ac:dyDescent="0.2">
      <c r="B290" s="4"/>
    </row>
    <row r="291" spans="2:2" x14ac:dyDescent="0.2">
      <c r="B291" s="4"/>
    </row>
    <row r="292" spans="2:2" x14ac:dyDescent="0.2">
      <c r="B292" s="4"/>
    </row>
    <row r="293" spans="2:2" x14ac:dyDescent="0.2">
      <c r="B293" s="4"/>
    </row>
    <row r="294" spans="2:2" x14ac:dyDescent="0.2">
      <c r="B294" s="4"/>
    </row>
    <row r="295" spans="2:2" x14ac:dyDescent="0.2">
      <c r="B295" s="4"/>
    </row>
    <row r="296" spans="2:2" x14ac:dyDescent="0.2">
      <c r="B296" s="4"/>
    </row>
    <row r="297" spans="2:2" x14ac:dyDescent="0.2">
      <c r="B297" s="4"/>
    </row>
    <row r="298" spans="2:2" x14ac:dyDescent="0.2">
      <c r="B298" s="4"/>
    </row>
    <row r="299" spans="2:2" x14ac:dyDescent="0.2">
      <c r="B299" s="4"/>
    </row>
    <row r="300" spans="2:2" x14ac:dyDescent="0.2">
      <c r="B300" s="4"/>
    </row>
    <row r="301" spans="2:2" x14ac:dyDescent="0.2">
      <c r="B301" s="4"/>
    </row>
    <row r="302" spans="2:2" x14ac:dyDescent="0.2">
      <c r="B302" s="4"/>
    </row>
    <row r="303" spans="2:2" x14ac:dyDescent="0.2">
      <c r="B303" s="4"/>
    </row>
    <row r="304" spans="2:2" x14ac:dyDescent="0.2">
      <c r="B304" s="4"/>
    </row>
    <row r="305" spans="2:2" x14ac:dyDescent="0.2">
      <c r="B305" s="4"/>
    </row>
    <row r="306" spans="2:2" x14ac:dyDescent="0.2">
      <c r="B306" s="4"/>
    </row>
    <row r="307" spans="2:2" x14ac:dyDescent="0.2">
      <c r="B307" s="4"/>
    </row>
    <row r="308" spans="2:2" x14ac:dyDescent="0.2">
      <c r="B308" s="4"/>
    </row>
    <row r="309" spans="2:2" x14ac:dyDescent="0.2">
      <c r="B309" s="4"/>
    </row>
    <row r="310" spans="2:2" x14ac:dyDescent="0.2">
      <c r="B310" s="4"/>
    </row>
    <row r="311" spans="2:2" x14ac:dyDescent="0.2">
      <c r="B311" s="4"/>
    </row>
    <row r="312" spans="2:2" x14ac:dyDescent="0.2">
      <c r="B312" s="4"/>
    </row>
    <row r="313" spans="2:2" x14ac:dyDescent="0.2">
      <c r="B313" s="4"/>
    </row>
    <row r="314" spans="2:2" x14ac:dyDescent="0.2">
      <c r="B314" s="4"/>
    </row>
    <row r="315" spans="2:2" x14ac:dyDescent="0.2">
      <c r="B315" s="4"/>
    </row>
    <row r="316" spans="2:2" x14ac:dyDescent="0.2">
      <c r="B316" s="4"/>
    </row>
    <row r="317" spans="2:2" x14ac:dyDescent="0.2">
      <c r="B317" s="4"/>
    </row>
    <row r="318" spans="2:2" x14ac:dyDescent="0.2">
      <c r="B318" s="4"/>
    </row>
    <row r="319" spans="2:2" x14ac:dyDescent="0.2">
      <c r="B319" s="4"/>
    </row>
    <row r="320" spans="2:2" x14ac:dyDescent="0.2">
      <c r="B320" s="4"/>
    </row>
    <row r="321" spans="2:2" x14ac:dyDescent="0.2">
      <c r="B321" s="4"/>
    </row>
    <row r="322" spans="2:2" x14ac:dyDescent="0.2">
      <c r="B322" s="4"/>
    </row>
    <row r="323" spans="2:2" x14ac:dyDescent="0.2">
      <c r="B323" s="4"/>
    </row>
    <row r="324" spans="2:2" x14ac:dyDescent="0.2">
      <c r="B324" s="4"/>
    </row>
    <row r="325" spans="2:2" x14ac:dyDescent="0.2">
      <c r="B325" s="4"/>
    </row>
    <row r="326" spans="2:2" x14ac:dyDescent="0.2">
      <c r="B326" s="4"/>
    </row>
    <row r="327" spans="2:2" x14ac:dyDescent="0.2">
      <c r="B327" s="4"/>
    </row>
    <row r="328" spans="2:2" x14ac:dyDescent="0.2">
      <c r="B328" s="4"/>
    </row>
    <row r="329" spans="2:2" x14ac:dyDescent="0.2">
      <c r="B329" s="4"/>
    </row>
    <row r="330" spans="2:2" x14ac:dyDescent="0.2">
      <c r="B330" s="4"/>
    </row>
    <row r="331" spans="2:2" x14ac:dyDescent="0.2">
      <c r="B331" s="4"/>
    </row>
    <row r="332" spans="2:2" x14ac:dyDescent="0.2">
      <c r="B332" s="4"/>
    </row>
    <row r="333" spans="2:2" x14ac:dyDescent="0.2">
      <c r="B333" s="4"/>
    </row>
    <row r="334" spans="2:2" x14ac:dyDescent="0.2">
      <c r="B334" s="4"/>
    </row>
    <row r="335" spans="2:2" x14ac:dyDescent="0.2">
      <c r="B335" s="4"/>
    </row>
    <row r="336" spans="2:2" x14ac:dyDescent="0.2">
      <c r="B336" s="4"/>
    </row>
    <row r="337" spans="2:2" x14ac:dyDescent="0.2">
      <c r="B337" s="4"/>
    </row>
    <row r="338" spans="2:2" x14ac:dyDescent="0.2">
      <c r="B338" s="4"/>
    </row>
    <row r="339" spans="2:2" x14ac:dyDescent="0.2">
      <c r="B339" s="4"/>
    </row>
    <row r="340" spans="2:2" x14ac:dyDescent="0.2">
      <c r="B340" s="4"/>
    </row>
    <row r="341" spans="2:2" x14ac:dyDescent="0.2">
      <c r="B341" s="4"/>
    </row>
    <row r="342" spans="2:2" x14ac:dyDescent="0.2">
      <c r="B342" s="4"/>
    </row>
    <row r="343" spans="2:2" x14ac:dyDescent="0.2">
      <c r="B343" s="4"/>
    </row>
    <row r="344" spans="2:2" x14ac:dyDescent="0.2">
      <c r="B344" s="4"/>
    </row>
    <row r="345" spans="2:2" x14ac:dyDescent="0.2">
      <c r="B345" s="4"/>
    </row>
    <row r="346" spans="2:2" x14ac:dyDescent="0.2">
      <c r="B346" s="4"/>
    </row>
    <row r="347" spans="2:2" x14ac:dyDescent="0.2">
      <c r="B347" s="4"/>
    </row>
    <row r="348" spans="2:2" x14ac:dyDescent="0.2">
      <c r="B348" s="4"/>
    </row>
    <row r="349" spans="2:2" x14ac:dyDescent="0.2">
      <c r="B349" s="4"/>
    </row>
    <row r="350" spans="2:2" x14ac:dyDescent="0.2">
      <c r="B350" s="4"/>
    </row>
    <row r="351" spans="2:2" x14ac:dyDescent="0.2">
      <c r="B351" s="4"/>
    </row>
    <row r="352" spans="2:2" x14ac:dyDescent="0.2">
      <c r="B352" s="4"/>
    </row>
    <row r="353" spans="2:2" x14ac:dyDescent="0.2">
      <c r="B353" s="4"/>
    </row>
    <row r="354" spans="2:2" x14ac:dyDescent="0.2">
      <c r="B354" s="4"/>
    </row>
    <row r="355" spans="2:2" x14ac:dyDescent="0.2">
      <c r="B355" s="4"/>
    </row>
    <row r="356" spans="2:2" x14ac:dyDescent="0.2">
      <c r="B356" s="4"/>
    </row>
    <row r="357" spans="2:2" x14ac:dyDescent="0.2">
      <c r="B357" s="4"/>
    </row>
    <row r="358" spans="2:2" x14ac:dyDescent="0.2">
      <c r="B358" s="4"/>
    </row>
    <row r="359" spans="2:2" x14ac:dyDescent="0.2">
      <c r="B359" s="4"/>
    </row>
    <row r="360" spans="2:2" x14ac:dyDescent="0.2">
      <c r="B360" s="4"/>
    </row>
    <row r="361" spans="2:2" x14ac:dyDescent="0.2">
      <c r="B361" s="4"/>
    </row>
    <row r="362" spans="2:2" x14ac:dyDescent="0.2">
      <c r="B362" s="4"/>
    </row>
    <row r="363" spans="2:2" x14ac:dyDescent="0.2">
      <c r="B363" s="4"/>
    </row>
    <row r="364" spans="2:2" x14ac:dyDescent="0.2">
      <c r="B364" s="4"/>
    </row>
    <row r="365" spans="2:2" x14ac:dyDescent="0.2">
      <c r="B365" s="4"/>
    </row>
    <row r="366" spans="2:2" x14ac:dyDescent="0.2">
      <c r="B366" s="4"/>
    </row>
    <row r="367" spans="2:2" x14ac:dyDescent="0.2">
      <c r="B367" s="4"/>
    </row>
    <row r="368" spans="2:2" x14ac:dyDescent="0.2">
      <c r="B368" s="4"/>
    </row>
    <row r="369" spans="2:2" x14ac:dyDescent="0.2">
      <c r="B369" s="4"/>
    </row>
    <row r="370" spans="2:2" x14ac:dyDescent="0.2">
      <c r="B370" s="4"/>
    </row>
    <row r="371" spans="2:2" x14ac:dyDescent="0.2">
      <c r="B371" s="4"/>
    </row>
    <row r="372" spans="2:2" x14ac:dyDescent="0.2">
      <c r="B372" s="4"/>
    </row>
    <row r="373" spans="2:2" x14ac:dyDescent="0.2">
      <c r="B373" s="4"/>
    </row>
    <row r="374" spans="2:2" x14ac:dyDescent="0.2">
      <c r="B374" s="4"/>
    </row>
    <row r="375" spans="2:2" x14ac:dyDescent="0.2">
      <c r="B375" s="4"/>
    </row>
    <row r="376" spans="2:2" x14ac:dyDescent="0.2">
      <c r="B376" s="4"/>
    </row>
    <row r="377" spans="2:2" x14ac:dyDescent="0.2">
      <c r="B377" s="4"/>
    </row>
    <row r="378" spans="2:2" x14ac:dyDescent="0.2">
      <c r="B378" s="4"/>
    </row>
    <row r="379" spans="2:2" x14ac:dyDescent="0.2">
      <c r="B379" s="4"/>
    </row>
    <row r="380" spans="2:2" x14ac:dyDescent="0.2">
      <c r="B380" s="4"/>
    </row>
    <row r="381" spans="2:2" x14ac:dyDescent="0.2">
      <c r="B381" s="4"/>
    </row>
    <row r="382" spans="2:2" x14ac:dyDescent="0.2">
      <c r="B382" s="4"/>
    </row>
    <row r="383" spans="2:2" x14ac:dyDescent="0.2">
      <c r="B383" s="4"/>
    </row>
    <row r="384" spans="2:2" x14ac:dyDescent="0.2">
      <c r="B384" s="4"/>
    </row>
    <row r="385" spans="2:2" x14ac:dyDescent="0.2">
      <c r="B385" s="4"/>
    </row>
    <row r="386" spans="2:2" x14ac:dyDescent="0.2">
      <c r="B386" s="4"/>
    </row>
    <row r="387" spans="2:2" x14ac:dyDescent="0.2">
      <c r="B387" s="4"/>
    </row>
    <row r="388" spans="2:2" x14ac:dyDescent="0.2">
      <c r="B388" s="4"/>
    </row>
    <row r="389" spans="2:2" x14ac:dyDescent="0.2">
      <c r="B389" s="4"/>
    </row>
    <row r="390" spans="2:2" x14ac:dyDescent="0.2">
      <c r="B390" s="4"/>
    </row>
    <row r="391" spans="2:2" x14ac:dyDescent="0.2">
      <c r="B391" s="4"/>
    </row>
    <row r="392" spans="2:2" x14ac:dyDescent="0.2">
      <c r="B392" s="4"/>
    </row>
    <row r="393" spans="2:2" x14ac:dyDescent="0.2">
      <c r="B393" s="4"/>
    </row>
    <row r="394" spans="2:2" x14ac:dyDescent="0.2">
      <c r="B394" s="4"/>
    </row>
    <row r="395" spans="2:2" x14ac:dyDescent="0.2">
      <c r="B395" s="4"/>
    </row>
    <row r="396" spans="2:2" x14ac:dyDescent="0.2">
      <c r="B396" s="4"/>
    </row>
    <row r="397" spans="2:2" x14ac:dyDescent="0.2">
      <c r="B397" s="4"/>
    </row>
    <row r="398" spans="2:2" x14ac:dyDescent="0.2">
      <c r="B398" s="4"/>
    </row>
    <row r="399" spans="2:2" x14ac:dyDescent="0.2">
      <c r="B399" s="4"/>
    </row>
    <row r="400" spans="2:2" x14ac:dyDescent="0.2">
      <c r="B400" s="4"/>
    </row>
    <row r="401" spans="2:2" x14ac:dyDescent="0.2">
      <c r="B401" s="4"/>
    </row>
    <row r="402" spans="2:2" x14ac:dyDescent="0.2">
      <c r="B402" s="4"/>
    </row>
    <row r="403" spans="2:2" x14ac:dyDescent="0.2">
      <c r="B403" s="4"/>
    </row>
    <row r="404" spans="2:2" x14ac:dyDescent="0.2">
      <c r="B404" s="4"/>
    </row>
    <row r="405" spans="2:2" x14ac:dyDescent="0.2">
      <c r="B405" s="4"/>
    </row>
    <row r="406" spans="2:2" x14ac:dyDescent="0.2">
      <c r="B406" s="4"/>
    </row>
    <row r="407" spans="2:2" x14ac:dyDescent="0.2">
      <c r="B407" s="4"/>
    </row>
    <row r="408" spans="2:2" x14ac:dyDescent="0.2">
      <c r="B408" s="4"/>
    </row>
    <row r="409" spans="2:2" x14ac:dyDescent="0.2">
      <c r="B409" s="4"/>
    </row>
    <row r="410" spans="2:2" x14ac:dyDescent="0.2">
      <c r="B410" s="4"/>
    </row>
    <row r="411" spans="2:2" x14ac:dyDescent="0.2">
      <c r="B411" s="4"/>
    </row>
    <row r="412" spans="2:2" x14ac:dyDescent="0.2">
      <c r="B412" s="4"/>
    </row>
    <row r="413" spans="2:2" x14ac:dyDescent="0.2">
      <c r="B413" s="4"/>
    </row>
    <row r="414" spans="2:2" x14ac:dyDescent="0.2">
      <c r="B414" s="4"/>
    </row>
    <row r="415" spans="2:2" x14ac:dyDescent="0.2">
      <c r="B415" s="4"/>
    </row>
    <row r="416" spans="2:2" x14ac:dyDescent="0.2">
      <c r="B416" s="4"/>
    </row>
    <row r="417" spans="2:2" x14ac:dyDescent="0.2">
      <c r="B417" s="4"/>
    </row>
    <row r="418" spans="2:2" x14ac:dyDescent="0.2">
      <c r="B418" s="4"/>
    </row>
    <row r="419" spans="2:2" x14ac:dyDescent="0.2">
      <c r="B419" s="4"/>
    </row>
    <row r="420" spans="2:2" x14ac:dyDescent="0.2">
      <c r="B420" s="4"/>
    </row>
    <row r="421" spans="2:2" x14ac:dyDescent="0.2">
      <c r="B421" s="4"/>
    </row>
    <row r="422" spans="2:2" x14ac:dyDescent="0.2">
      <c r="B422" s="4"/>
    </row>
    <row r="423" spans="2:2" x14ac:dyDescent="0.2">
      <c r="B423" s="4"/>
    </row>
    <row r="424" spans="2:2" x14ac:dyDescent="0.2">
      <c r="B424" s="4"/>
    </row>
    <row r="425" spans="2:2" x14ac:dyDescent="0.2">
      <c r="B425" s="4"/>
    </row>
    <row r="426" spans="2:2" x14ac:dyDescent="0.2">
      <c r="B426" s="4"/>
    </row>
    <row r="427" spans="2:2" x14ac:dyDescent="0.2">
      <c r="B427" s="4"/>
    </row>
    <row r="428" spans="2:2" x14ac:dyDescent="0.2">
      <c r="B428" s="4"/>
    </row>
    <row r="429" spans="2:2" x14ac:dyDescent="0.2">
      <c r="B429" s="4"/>
    </row>
    <row r="430" spans="2:2" x14ac:dyDescent="0.2">
      <c r="B430" s="4"/>
    </row>
    <row r="431" spans="2:2" x14ac:dyDescent="0.2">
      <c r="B431" s="4"/>
    </row>
    <row r="432" spans="2:2" x14ac:dyDescent="0.2">
      <c r="B432" s="4"/>
    </row>
    <row r="433" spans="2:2" x14ac:dyDescent="0.2">
      <c r="B433" s="4"/>
    </row>
    <row r="434" spans="2:2" x14ac:dyDescent="0.2">
      <c r="B434" s="4"/>
    </row>
    <row r="435" spans="2:2" x14ac:dyDescent="0.2">
      <c r="B435" s="4"/>
    </row>
    <row r="436" spans="2:2" x14ac:dyDescent="0.2">
      <c r="B436" s="4"/>
    </row>
    <row r="437" spans="2:2" x14ac:dyDescent="0.2">
      <c r="B437" s="4"/>
    </row>
    <row r="438" spans="2:2" x14ac:dyDescent="0.2">
      <c r="B438" s="4"/>
    </row>
    <row r="439" spans="2:2" x14ac:dyDescent="0.2">
      <c r="B439" s="4"/>
    </row>
    <row r="440" spans="2:2" x14ac:dyDescent="0.2">
      <c r="B440" s="4"/>
    </row>
    <row r="441" spans="2:2" x14ac:dyDescent="0.2">
      <c r="B441" s="4"/>
    </row>
    <row r="442" spans="2:2" x14ac:dyDescent="0.2">
      <c r="B442" s="4"/>
    </row>
    <row r="443" spans="2:2" x14ac:dyDescent="0.2">
      <c r="B443" s="4"/>
    </row>
    <row r="444" spans="2:2" x14ac:dyDescent="0.2">
      <c r="B444" s="4"/>
    </row>
    <row r="445" spans="2:2" x14ac:dyDescent="0.2">
      <c r="B445" s="4"/>
    </row>
    <row r="446" spans="2:2" x14ac:dyDescent="0.2">
      <c r="B446" s="4"/>
    </row>
    <row r="447" spans="2:2" x14ac:dyDescent="0.2">
      <c r="B447" s="4"/>
    </row>
    <row r="448" spans="2:2" x14ac:dyDescent="0.2">
      <c r="B448" s="4"/>
    </row>
    <row r="449" spans="2:2" x14ac:dyDescent="0.2">
      <c r="B449" s="4"/>
    </row>
    <row r="450" spans="2:2" x14ac:dyDescent="0.2">
      <c r="B450" s="4"/>
    </row>
    <row r="451" spans="2:2" x14ac:dyDescent="0.2">
      <c r="B451" s="4"/>
    </row>
    <row r="452" spans="2:2" x14ac:dyDescent="0.2">
      <c r="B452" s="4"/>
    </row>
    <row r="453" spans="2:2" x14ac:dyDescent="0.2">
      <c r="B453" s="4"/>
    </row>
    <row r="454" spans="2:2" x14ac:dyDescent="0.2">
      <c r="B454" s="4"/>
    </row>
    <row r="455" spans="2:2" x14ac:dyDescent="0.2">
      <c r="B455" s="4"/>
    </row>
    <row r="456" spans="2:2" x14ac:dyDescent="0.2">
      <c r="B456" s="4"/>
    </row>
    <row r="457" spans="2:2" x14ac:dyDescent="0.2">
      <c r="B457" s="4"/>
    </row>
    <row r="458" spans="2:2" x14ac:dyDescent="0.2">
      <c r="B458" s="4"/>
    </row>
    <row r="459" spans="2:2" x14ac:dyDescent="0.2">
      <c r="B459" s="4"/>
    </row>
    <row r="460" spans="2:2" x14ac:dyDescent="0.2">
      <c r="B460" s="4"/>
    </row>
    <row r="461" spans="2:2" x14ac:dyDescent="0.2">
      <c r="B461" s="4"/>
    </row>
    <row r="462" spans="2:2" x14ac:dyDescent="0.2">
      <c r="B462" s="4"/>
    </row>
    <row r="463" spans="2:2" x14ac:dyDescent="0.2">
      <c r="B463" s="4"/>
    </row>
    <row r="464" spans="2:2" x14ac:dyDescent="0.2">
      <c r="B464" s="4"/>
    </row>
    <row r="465" spans="2:2" x14ac:dyDescent="0.2">
      <c r="B465" s="4"/>
    </row>
    <row r="466" spans="2:2" x14ac:dyDescent="0.2">
      <c r="B466" s="4"/>
    </row>
    <row r="467" spans="2:2" x14ac:dyDescent="0.2">
      <c r="B467" s="4"/>
    </row>
    <row r="468" spans="2:2" x14ac:dyDescent="0.2">
      <c r="B468" s="4"/>
    </row>
    <row r="469" spans="2:2" x14ac:dyDescent="0.2">
      <c r="B469" s="4"/>
    </row>
    <row r="470" spans="2:2" x14ac:dyDescent="0.2">
      <c r="B470" s="4"/>
    </row>
    <row r="471" spans="2:2" x14ac:dyDescent="0.2">
      <c r="B471" s="4"/>
    </row>
    <row r="472" spans="2:2" x14ac:dyDescent="0.2">
      <c r="B472" s="4"/>
    </row>
    <row r="473" spans="2:2" x14ac:dyDescent="0.2">
      <c r="B473" s="4"/>
    </row>
    <row r="474" spans="2:2" x14ac:dyDescent="0.2">
      <c r="B474" s="4"/>
    </row>
    <row r="475" spans="2:2" x14ac:dyDescent="0.2">
      <c r="B475" s="4"/>
    </row>
    <row r="476" spans="2:2" x14ac:dyDescent="0.2">
      <c r="B476" s="4"/>
    </row>
    <row r="477" spans="2:2" x14ac:dyDescent="0.2">
      <c r="B477" s="4"/>
    </row>
    <row r="478" spans="2:2" x14ac:dyDescent="0.2">
      <c r="B478" s="4"/>
    </row>
    <row r="479" spans="2:2" x14ac:dyDescent="0.2">
      <c r="B479" s="4"/>
    </row>
    <row r="480" spans="2:2" x14ac:dyDescent="0.2">
      <c r="B480" s="4"/>
    </row>
    <row r="481" spans="2:2" x14ac:dyDescent="0.2">
      <c r="B481" s="4"/>
    </row>
    <row r="482" spans="2:2" x14ac:dyDescent="0.2">
      <c r="B482" s="4"/>
    </row>
    <row r="483" spans="2:2" x14ac:dyDescent="0.2">
      <c r="B483" s="4"/>
    </row>
    <row r="484" spans="2:2" x14ac:dyDescent="0.2">
      <c r="B484" s="4"/>
    </row>
    <row r="485" spans="2:2" x14ac:dyDescent="0.2">
      <c r="B485" s="4"/>
    </row>
    <row r="486" spans="2:2" x14ac:dyDescent="0.2">
      <c r="B486" s="4"/>
    </row>
    <row r="487" spans="2:2" x14ac:dyDescent="0.2">
      <c r="B487" s="4"/>
    </row>
    <row r="488" spans="2:2" x14ac:dyDescent="0.2">
      <c r="B488" s="4"/>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rubric</vt:lpstr>
      <vt:lpstr>raw_scoring</vt:lpstr>
      <vt:lpstr>performance_analysis</vt:lpstr>
      <vt:lpstr>failure_analysis</vt:lpstr>
      <vt:lpstr>delta_analysis</vt:lpstr>
      <vt:lpstr>output_length_performance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Author</dc:creator>
  <cp:lastModifiedBy>Author</cp:lastModifiedBy>
  <dcterms:created xsi:type="dcterms:W3CDTF">2026-04-09T21:26:58Z</dcterms:created>
  <dcterms:modified xsi:type="dcterms:W3CDTF">2026-04-09T21:30:45Z</dcterms:modified>
</cp:coreProperties>
</file>